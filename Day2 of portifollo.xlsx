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380" windowHeight="4100" activeTab="1"/>
  </bookViews>
  <sheets>
    <sheet name="Product_Master" sheetId="1" r:id="rId1"/>
    <sheet name="Sales_Transac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2" l="1"/>
  <c r="E26" i="2"/>
  <c r="E27" i="2"/>
  <c r="E28" i="2"/>
  <c r="G28" i="2" s="1"/>
  <c r="E29" i="2"/>
  <c r="E30" i="2"/>
  <c r="E31" i="2"/>
  <c r="G31" i="2" s="1"/>
  <c r="E32" i="2"/>
  <c r="G32" i="2" s="1"/>
  <c r="E33" i="2"/>
  <c r="E34" i="2"/>
  <c r="E35" i="2"/>
  <c r="E36" i="2"/>
  <c r="G36" i="2" s="1"/>
  <c r="E37" i="2"/>
  <c r="G37" i="2" s="1"/>
  <c r="E38" i="2"/>
  <c r="G38" i="2" s="1"/>
  <c r="E39" i="2"/>
  <c r="G39" i="2" s="1"/>
  <c r="E40" i="2"/>
  <c r="G40" i="2" s="1"/>
  <c r="E41" i="2"/>
  <c r="E42" i="2"/>
  <c r="E43" i="2"/>
  <c r="E44" i="2"/>
  <c r="G44" i="2" s="1"/>
  <c r="E45" i="2"/>
  <c r="G45" i="2" s="1"/>
  <c r="E46" i="2"/>
  <c r="E47" i="2"/>
  <c r="G47" i="2" s="1"/>
  <c r="E48" i="2"/>
  <c r="G48" i="2" s="1"/>
  <c r="E49" i="2"/>
  <c r="E50" i="2"/>
  <c r="E51" i="2"/>
  <c r="E52" i="2"/>
  <c r="G52" i="2" s="1"/>
  <c r="E53" i="2"/>
  <c r="G53" i="2" s="1"/>
  <c r="E54" i="2"/>
  <c r="E55" i="2"/>
  <c r="G55" i="2" s="1"/>
  <c r="E56" i="2"/>
  <c r="G56" i="2" s="1"/>
  <c r="E57" i="2"/>
  <c r="E58" i="2"/>
  <c r="E59" i="2"/>
  <c r="E60" i="2"/>
  <c r="G60" i="2" s="1"/>
  <c r="E61" i="2"/>
  <c r="G61" i="2" s="1"/>
  <c r="F25" i="2"/>
  <c r="G25" i="2" s="1"/>
  <c r="F26" i="2"/>
  <c r="G26" i="2" s="1"/>
  <c r="F27" i="2"/>
  <c r="G27" i="2" s="1"/>
  <c r="F28" i="2"/>
  <c r="F29" i="2"/>
  <c r="F30" i="2"/>
  <c r="F31" i="2"/>
  <c r="F32" i="2"/>
  <c r="F33" i="2"/>
  <c r="G33" i="2" s="1"/>
  <c r="F34" i="2"/>
  <c r="G34" i="2" s="1"/>
  <c r="F35" i="2"/>
  <c r="G35" i="2" s="1"/>
  <c r="F36" i="2"/>
  <c r="F37" i="2"/>
  <c r="F38" i="2"/>
  <c r="F39" i="2"/>
  <c r="F40" i="2"/>
  <c r="F41" i="2"/>
  <c r="G41" i="2" s="1"/>
  <c r="F42" i="2"/>
  <c r="G42" i="2" s="1"/>
  <c r="F43" i="2"/>
  <c r="G43" i="2" s="1"/>
  <c r="F44" i="2"/>
  <c r="F45" i="2"/>
  <c r="F46" i="2"/>
  <c r="F47" i="2"/>
  <c r="F48" i="2"/>
  <c r="F49" i="2"/>
  <c r="F50" i="2"/>
  <c r="G50" i="2" s="1"/>
  <c r="F51" i="2"/>
  <c r="F52" i="2"/>
  <c r="F53" i="2"/>
  <c r="F54" i="2"/>
  <c r="F55" i="2"/>
  <c r="F56" i="2"/>
  <c r="F57" i="2"/>
  <c r="G57" i="2" s="1"/>
  <c r="F58" i="2"/>
  <c r="G58" i="2" s="1"/>
  <c r="F59" i="2"/>
  <c r="G59" i="2" s="1"/>
  <c r="F60" i="2"/>
  <c r="F61" i="2"/>
  <c r="G54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E7" i="2"/>
  <c r="F7" i="2"/>
  <c r="G51" i="2" l="1"/>
  <c r="G49" i="2"/>
  <c r="G17" i="2"/>
  <c r="G18" i="2"/>
  <c r="G10" i="2"/>
  <c r="G11" i="2"/>
  <c r="G12" i="2"/>
  <c r="G46" i="2"/>
  <c r="G30" i="2"/>
  <c r="G29" i="2"/>
  <c r="G16" i="2"/>
  <c r="G14" i="2"/>
  <c r="G24" i="2"/>
  <c r="G13" i="2"/>
  <c r="G22" i="2"/>
  <c r="G20" i="2"/>
  <c r="G19" i="2"/>
  <c r="G21" i="2"/>
  <c r="G9" i="2"/>
  <c r="G8" i="2"/>
  <c r="G15" i="2"/>
  <c r="G7" i="2"/>
  <c r="G23" i="2"/>
  <c r="E2" i="2"/>
  <c r="E3" i="2"/>
  <c r="E4" i="2"/>
  <c r="E5" i="2"/>
  <c r="G5" i="2" s="1"/>
  <c r="E6" i="2"/>
  <c r="G6" i="2" s="1"/>
  <c r="F2" i="2"/>
  <c r="F3" i="2"/>
  <c r="F4" i="2"/>
  <c r="F5" i="2"/>
  <c r="F6" i="2"/>
  <c r="G4" i="2" l="1"/>
  <c r="G3" i="2"/>
  <c r="G2" i="2"/>
</calcChain>
</file>

<file path=xl/sharedStrings.xml><?xml version="1.0" encoding="utf-8"?>
<sst xmlns="http://schemas.openxmlformats.org/spreadsheetml/2006/main" count="196" uniqueCount="105">
  <si>
    <t>SKU</t>
  </si>
  <si>
    <t>Product_Name</t>
  </si>
  <si>
    <t>Unit_Price</t>
  </si>
  <si>
    <t>AST-RB-240</t>
  </si>
  <si>
    <t>Relic Blade 240 GSM T-Shirt</t>
  </si>
  <si>
    <t>AST-KV-450</t>
  </si>
  <si>
    <t>Kavacha 450 GSM Hoodie</t>
  </si>
  <si>
    <t>AST-MC-001</t>
  </si>
  <si>
    <t>Minimalist Cap</t>
  </si>
  <si>
    <t>OrderID</t>
  </si>
  <si>
    <t>Qty_Sold</t>
  </si>
  <si>
    <t>Discount_Code</t>
  </si>
  <si>
    <t>ORD-101</t>
  </si>
  <si>
    <t>NONE</t>
  </si>
  <si>
    <t>ORD-102</t>
  </si>
  <si>
    <t>LAUNCH10</t>
  </si>
  <si>
    <t>ORD-103</t>
  </si>
  <si>
    <t>WHOLESALE</t>
  </si>
  <si>
    <t>ORD-104</t>
  </si>
  <si>
    <t>AST-XX-999</t>
  </si>
  <si>
    <t>ORD-105</t>
  </si>
  <si>
    <t>Mapped_Price</t>
  </si>
  <si>
    <t>Discount</t>
  </si>
  <si>
    <t xml:space="preserve">Net_revenue 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</si>
  <si>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</si>
  <si>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</si>
  <si>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</si>
  <si>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</si>
  <si>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</si>
  <si>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</si>
  <si>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</si>
  <si>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</si>
  <si>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</si>
  <si>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</si>
  <si>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</si>
  <si>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</si>
  <si>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</si>
  <si>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</si>
  <si>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</si>
  <si>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</si>
  <si>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ORD-122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</si>
  <si>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</si>
  <si>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</si>
  <si>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</si>
  <si>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</si>
  <si>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</si>
  <si>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</si>
  <si>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</si>
  <si>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</si>
  <si>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</si>
  <si>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</si>
  <si>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</si>
  <si>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</si>
  <si>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</si>
  <si>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</si>
  <si>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</si>
  <si>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</si>
  <si>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</si>
  <si>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</si>
  <si>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</si>
  <si>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</si>
  <si>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</si>
  <si>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</si>
  <si>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</si>
  <si>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</si>
  <si>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</si>
  <si>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</si>
  <si>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</si>
  <si>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</si>
  <si>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ORD-151</t>
  </si>
  <si>
    <t>ORD-152</t>
  </si>
  <si>
    <t>ORD-153</t>
  </si>
  <si>
    <t>ORD-154</t>
  </si>
  <si>
    <t>ORD-155</t>
  </si>
  <si>
    <t>ORD-156</t>
  </si>
  <si>
    <t>ORD-157</t>
  </si>
  <si>
    <t>ORD-158</t>
  </si>
  <si>
    <t>ORD-159</t>
  </si>
  <si>
    <t>ORD-160</t>
  </si>
  <si>
    <t>AST-RB-241</t>
  </si>
  <si>
    <t>AST-XX-1000</t>
  </si>
  <si>
    <t>AST-KV-452</t>
  </si>
  <si>
    <t>AST-XX-1001</t>
  </si>
  <si>
    <t>AST-RB-243</t>
  </si>
  <si>
    <t>AST-KV-453</t>
  </si>
  <si>
    <t>AST-XX-1002</t>
  </si>
  <si>
    <t>AST-RB-244</t>
  </si>
  <si>
    <t>AST-KV-454</t>
  </si>
  <si>
    <t>AST-XX-1003</t>
  </si>
  <si>
    <t>AST-RB-245</t>
  </si>
  <si>
    <t>AST-KV-455</t>
  </si>
  <si>
    <t>AST-XX-1004</t>
  </si>
  <si>
    <t>AST-RB-246</t>
  </si>
  <si>
    <t>AST-KV-456</t>
  </si>
  <si>
    <t>AST-RB-247</t>
  </si>
  <si>
    <t>AST-KV-457</t>
  </si>
  <si>
    <t>AST-XX-1006</t>
  </si>
  <si>
    <t>LAUNCH11</t>
  </si>
  <si>
    <t>LAUNCH12</t>
  </si>
  <si>
    <t>LAUNCH13</t>
  </si>
  <si>
    <t>LAUNCH14</t>
  </si>
  <si>
    <t>LAUNCH15</t>
  </si>
  <si>
    <t>LAUNCH16</t>
  </si>
  <si>
    <t>AST-XX-440</t>
  </si>
  <si>
    <t>AST-KV-240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</si>
</sst>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0" borderId="0" xfId="0" applyFont="1"/>
    <xf numFmtId="0" fontId="4" fillId="0" borderId="1" xfId="0" applyFont="1" applyBorder="1" applyAlignment="1">
      <alignment vertical="center" wrapText="1"/>
    </xf>
    <xf numFmtId="0" fontId="0" fillId="0" borderId="0" xfId="0" applyNumberFormat="1"/>
    <xf numFmtId="0" fontId="0" fillId="0" borderId="0" xfId="0" applyNumberFormat="1" applyBorder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Products" displayName="Products" ref="A1:C4" totalsRowShown="0" headerRowDxfId="17" headerRowBorderDxfId="16" tableBorderDxfId="15" totalsRowBorderDxfId="14">
  <autoFilter ref="A1:C4"/>
  <tableColumns count="3">
    <tableColumn id="1" name="SKU" dataDxfId="13"/>
    <tableColumn id="2" name="Product_Name" dataDxfId="12"/>
    <tableColumn id="3" name="Unit_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Orders" displayName="Orders" ref="A1:G61" totalsRowShown="0" headerRowDxfId="10" headerRowBorderDxfId="9" tableBorderDxfId="8" totalsRowBorderDxfId="7">
  <autoFilter ref="A1:G61"/>
  <tableColumns count="7">
    <tableColumn id="1" name="OrderID" dataDxfId="6"/>
    <tableColumn id="2" name="SKU" dataDxfId="5"/>
    <tableColumn id="3" name="Qty_Sold" dataDxfId="4"/>
    <tableColumn id="4" name="Discount_Code" dataDxfId="3"/>
    <tableColumn id="5" name="Mapped_Price" dataDxfId="2">
      <calculatedColumnFormula>IFERROR(INDEX(Products[Unit_Price],MATCH(Orders[[#This Row],[SKU]],Products[SKU],0)),"SKU DEFECT")</calculatedColumnFormula>
    </tableColumn>
    <tableColumn id="6" name="Discount" dataDxfId="1">
      <calculatedColumnFormula>IF(Orders[[#This Row],[Discount_Code]]="LAUNCH10",0.9,IF(Orders[[#This Row],[Discount_Code]]="WHOLESALE",0.75,1))</calculatedColumnFormula>
    </tableColumn>
    <tableColumn id="7" name="Net_revenue " dataDxfId="0">
      <calculatedColumnFormula>IFERROR(Orders[[#This Row],[Qty_Sold]]*Orders[[#This Row],[Mapped_Price]]*Orders[[#This Row],[Discount]],0)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2" sqref="A2"/>
    </sheetView>
  </sheetViews>
  <sheetFormatPr defaultRowHeight="14.5" x14ac:dyDescent="0.35"/>
  <cols>
    <col min="1" max="1" width="14.26953125" customWidth="1"/>
    <col min="2" max="2" width="27.6328125" customWidth="1"/>
    <col min="3" max="3" width="14.26953125" customWidth="1"/>
  </cols>
  <sheetData>
    <row r="1" spans="1:3" ht="15" thickBot="1" x14ac:dyDescent="0.4">
      <c r="A1" s="4" t="s">
        <v>0</v>
      </c>
      <c r="B1" s="5" t="s">
        <v>1</v>
      </c>
      <c r="C1" s="6" t="s">
        <v>2</v>
      </c>
    </row>
    <row r="2" spans="1:3" ht="18" customHeight="1" thickBot="1" x14ac:dyDescent="0.4">
      <c r="A2" s="2" t="s">
        <v>3</v>
      </c>
      <c r="B2" s="1" t="s">
        <v>4</v>
      </c>
      <c r="C2" s="3">
        <v>999</v>
      </c>
    </row>
    <row r="3" spans="1:3" ht="15" thickBot="1" x14ac:dyDescent="0.4">
      <c r="A3" s="2" t="s">
        <v>5</v>
      </c>
      <c r="B3" s="1" t="s">
        <v>6</v>
      </c>
      <c r="C3" s="3">
        <v>1999</v>
      </c>
    </row>
    <row r="4" spans="1:3" x14ac:dyDescent="0.35">
      <c r="A4" s="7" t="s">
        <v>7</v>
      </c>
      <c r="B4" s="8" t="s">
        <v>8</v>
      </c>
      <c r="C4" s="9">
        <v>499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abSelected="1" workbookViewId="0">
      <selection activeCell="F4" sqref="F4"/>
    </sheetView>
  </sheetViews>
  <sheetFormatPr defaultRowHeight="14.5" x14ac:dyDescent="0.35"/>
  <cols>
    <col min="1" max="1" width="19.7265625" customWidth="1"/>
    <col min="2" max="2" width="19.54296875" customWidth="1"/>
    <col min="3" max="3" width="18.453125" customWidth="1"/>
    <col min="4" max="4" width="17.453125" customWidth="1"/>
    <col min="5" max="5" width="16.26953125" bestFit="1" customWidth="1"/>
    <col min="6" max="6" width="11.36328125" bestFit="1" customWidth="1"/>
    <col min="7" max="7" width="14.90625" bestFit="1" customWidth="1"/>
  </cols>
  <sheetData>
    <row r="1" spans="1:7" ht="15" thickBot="1" x14ac:dyDescent="0.4">
      <c r="A1" s="4" t="s">
        <v>9</v>
      </c>
      <c r="B1" s="5" t="s">
        <v>0</v>
      </c>
      <c r="C1" s="5" t="s">
        <v>10</v>
      </c>
      <c r="D1" s="6" t="s">
        <v>11</v>
      </c>
      <c r="E1" s="5" t="s">
        <v>21</v>
      </c>
      <c r="F1" s="5" t="s">
        <v>22</v>
      </c>
      <c r="G1" s="5" t="s">
        <v>23</v>
      </c>
    </row>
    <row r="2" spans="1:7" ht="15" thickBot="1" x14ac:dyDescent="0.4">
      <c r="A2" s="2" t="s">
        <v>12</v>
      </c>
      <c r="B2" s="1" t="s">
        <v>3</v>
      </c>
      <c r="C2" s="1">
        <v>2</v>
      </c>
      <c r="D2" s="3" t="s">
        <v>13</v>
      </c>
      <c r="E2">
        <f>IFERROR(INDEX(Products[Unit_Price],MATCH(Orders[[#This Row],[SKU]],Products[SKU],0)),"SKU DEFECT")</f>
        <v>999</v>
      </c>
      <c r="F2">
        <f>IF(Orders[[#This Row],[Discount_Code]]="LAUNCH10",0.9,IF(Orders[[#This Row],[Discount_Code]]="WHOLESALE",0.75,1))</f>
        <v>1</v>
      </c>
      <c r="G2">
        <f>IFERROR(Orders[[#This Row],[Qty_Sold]]*Orders[[#This Row],[Mapped_Price]]*Orders[[#This Row],[Discount]],0)</f>
        <v>1998</v>
      </c>
    </row>
    <row r="3" spans="1:7" ht="15" thickBot="1" x14ac:dyDescent="0.4">
      <c r="A3" s="2" t="s">
        <v>14</v>
      </c>
      <c r="B3" s="1" t="s">
        <v>5</v>
      </c>
      <c r="C3" s="1">
        <v>1</v>
      </c>
      <c r="D3" s="3" t="s">
        <v>15</v>
      </c>
      <c r="E3">
        <f>IFERROR(INDEX(Products[Unit_Price],MATCH(Orders[[#This Row],[SKU]],Products[SKU],0)),"SKU DEFECT")</f>
        <v>1999</v>
      </c>
      <c r="F3">
        <f>IF(Orders[[#This Row],[Discount_Code]]="LAUNCH10",0.9,IF(Orders[[#This Row],[Discount_Code]]="WHOLESALE",0.75,1))</f>
        <v>0.9</v>
      </c>
      <c r="G3">
        <f>IFERROR(Orders[[#This Row],[Qty_Sold]]*Orders[[#This Row],[Mapped_Price]]*Orders[[#This Row],[Discount]],0)</f>
        <v>1799.1000000000001</v>
      </c>
    </row>
    <row r="4" spans="1:7" ht="15" thickBot="1" x14ac:dyDescent="0.4">
      <c r="A4" s="2" t="s">
        <v>16</v>
      </c>
      <c r="B4" s="1" t="s">
        <v>3</v>
      </c>
      <c r="C4" s="1">
        <v>5</v>
      </c>
      <c r="D4" s="3" t="s">
        <v>17</v>
      </c>
      <c r="E4">
        <f>IFERROR(INDEX(Products[Unit_Price],MATCH(Orders[[#This Row],[SKU]],Products[SKU],0)),"SKU DEFECT")</f>
        <v>999</v>
      </c>
      <c r="F4">
        <f>IF(Orders[[#This Row],[Discount_Code]]="LAUNCH10",0.9,IF(Orders[[#This Row],[Discount_Code]]="WHOLESALE",0.75,1))</f>
        <v>0.75</v>
      </c>
      <c r="G4">
        <f>IFERROR(Orders[[#This Row],[Qty_Sold]]*Orders[[#This Row],[Mapped_Price]]*Orders[[#This Row],[Discount]],0)</f>
        <v>3746.25</v>
      </c>
    </row>
    <row r="5" spans="1:7" ht="15" thickBot="1" x14ac:dyDescent="0.4">
      <c r="A5" s="2" t="s">
        <v>18</v>
      </c>
      <c r="B5" s="1" t="s">
        <v>19</v>
      </c>
      <c r="C5" s="1">
        <v>1</v>
      </c>
      <c r="D5" s="3" t="s">
        <v>13</v>
      </c>
      <c r="E5" s="10" t="str">
        <f>IFERROR(INDEX(Products[Unit_Price],MATCH(Orders[[#This Row],[SKU]],Products[SKU],0)),"SKU DEFECT")</f>
        <v>SKU DEFECT</v>
      </c>
      <c r="F5">
        <f>IF(Orders[[#This Row],[Discount_Code]]="LAUNCH10",0.9,IF(Orders[[#This Row],[Discount_Code]]="WHOLESALE",0.75,1))</f>
        <v>1</v>
      </c>
      <c r="G5">
        <f>IFERROR(Orders[[#This Row],[Qty_Sold]]*Orders[[#This Row],[Mapped_Price]]*Orders[[#This Row],[Discount]],0)</f>
        <v>0</v>
      </c>
    </row>
    <row r="6" spans="1:7" ht="15" thickBot="1" x14ac:dyDescent="0.4">
      <c r="A6" s="2" t="s">
        <v>20</v>
      </c>
      <c r="B6" s="8" t="s">
        <v>5</v>
      </c>
      <c r="C6" s="8">
        <v>3</v>
      </c>
      <c r="D6" s="9" t="s">
        <v>13</v>
      </c>
      <c r="E6">
        <f>IFERROR(INDEX(Products[Unit_Price],MATCH(Orders[[#This Row],[SKU]],Products[SKU],0)),"SKU DEFECT")</f>
        <v>1999</v>
      </c>
      <c r="F6">
        <f>IF(Orders[[#This Row],[Discount_Code]]="LAUNCH10",0.9,IF(Orders[[#This Row],[Discount_Code]]="WHOLESALE",0.75,1))</f>
        <v>1</v>
      </c>
      <c r="G6">
        <f>IFERROR(Orders[[#This Row],[Qty_Sold]]*Orders[[#This Row],[Mapped_Price]]*Orders[[#This Row],[Discount]],0)</f>
        <v>5997</v>
      </c>
    </row>
    <row r="7" spans="1:7" ht="15" thickBot="1" x14ac:dyDescent="0.4">
      <c r="A7" s="2" t="s">
        <v>24</v>
      </c>
      <c r="B7" s="1" t="s">
        <v>104</v>
      </c>
      <c r="C7" s="1">
        <v>3</v>
      </c>
      <c r="D7" s="3" t="s">
        <v>13</v>
      </c>
      <c r="E7" s="13" t="str">
        <f>IFERROR(INDEX(Products[Unit_Price],MATCH(Orders[[#This Row],[SKU]],Products[SKU],0)),"SKU DEFECT")</f>
        <v>SKU DEFECT</v>
      </c>
      <c r="F7" s="13">
        <f>IF(Orders[[#This Row],[Discount_Code]]="LAUNCH10",0.9,IF(Orders[[#This Row],[Discount_Code]]="WHOLESALE",0.75,1))</f>
        <v>1</v>
      </c>
      <c r="G7" s="13">
        <f>IFERROR(Orders[[#This Row],[Qty_Sold]]*Orders[[#This Row],[Mapped_Price]]*Orders[[#This Row],[Discount]],0)</f>
        <v>0</v>
      </c>
    </row>
    <row r="8" spans="1:7" ht="15" thickBot="1" x14ac:dyDescent="0.4">
      <c r="A8" s="2" t="s">
        <v>25</v>
      </c>
      <c r="B8" s="1" t="s">
        <v>5</v>
      </c>
      <c r="C8" s="1">
        <v>3</v>
      </c>
      <c r="D8" s="3" t="s">
        <v>97</v>
      </c>
      <c r="E8" s="12">
        <f>IFERROR(INDEX(Products[Unit_Price],MATCH(Orders[[#This Row],[SKU]],Products[SKU],0)),"SKU DEFECT")</f>
        <v>1999</v>
      </c>
      <c r="F8" s="12">
        <f>IF(Orders[[#This Row],[Discount_Code]]="LAUNCH10",0.9,IF(Orders[[#This Row],[Discount_Code]]="WHOLESALE",0.75,1))</f>
        <v>1</v>
      </c>
      <c r="G8" s="12">
        <f>IFERROR(Orders[[#This Row],[Qty_Sold]]*Orders[[#This Row],[Mapped_Price]]*Orders[[#This Row],[Discount]],0)</f>
        <v>5997</v>
      </c>
    </row>
    <row r="9" spans="1:7" ht="15" thickBot="1" x14ac:dyDescent="0.4">
      <c r="A9" s="2" t="s">
        <v>26</v>
      </c>
      <c r="B9" s="1" t="s">
        <v>3</v>
      </c>
      <c r="C9" s="1">
        <v>5</v>
      </c>
      <c r="D9" s="3" t="s">
        <v>17</v>
      </c>
      <c r="E9" s="12">
        <f>IFERROR(INDEX(Products[Unit_Price],MATCH(Orders[[#This Row],[SKU]],Products[SKU],0)),"SKU DEFECT")</f>
        <v>999</v>
      </c>
      <c r="F9" s="12">
        <f>IF(Orders[[#This Row],[Discount_Code]]="LAUNCH10",0.9,IF(Orders[[#This Row],[Discount_Code]]="WHOLESALE",0.75,1))</f>
        <v>0.75</v>
      </c>
      <c r="G9" s="12">
        <f>IFERROR(Orders[[#This Row],[Qty_Sold]]*Orders[[#This Row],[Mapped_Price]]*Orders[[#This Row],[Discount]],0)</f>
        <v>3746.25</v>
      </c>
    </row>
    <row r="10" spans="1:7" ht="15" thickBot="1" x14ac:dyDescent="0.4">
      <c r="A10" s="2" t="s">
        <v>27</v>
      </c>
      <c r="B10" s="1" t="s">
        <v>79</v>
      </c>
      <c r="C10" s="1">
        <v>3</v>
      </c>
      <c r="D10" s="3" t="s">
        <v>13</v>
      </c>
      <c r="E10" s="12" t="str">
        <f>IFERROR(INDEX(Products[Unit_Price],MATCH(Orders[[#This Row],[SKU]],Products[SKU],0)),"SKU DEFECT")</f>
        <v>SKU DEFECT</v>
      </c>
      <c r="F10" s="12">
        <f>IF(Orders[[#This Row],[Discount_Code]]="LAUNCH10",0.9,IF(Orders[[#This Row],[Discount_Code]]="WHOLESALE",0.75,1))</f>
        <v>1</v>
      </c>
      <c r="G10" s="12">
        <f>IFERROR(Orders[[#This Row],[Qty_Sold]]*Orders[[#This Row],[Mapped_Price]]*Orders[[#This Row],[Discount]],0)</f>
        <v>0</v>
      </c>
    </row>
    <row r="11" spans="1:7" ht="15" thickBot="1" x14ac:dyDescent="0.4">
      <c r="A11" s="2" t="s">
        <v>28</v>
      </c>
      <c r="B11" s="1" t="s">
        <v>5</v>
      </c>
      <c r="C11" s="8">
        <v>3</v>
      </c>
      <c r="D11" s="9" t="s">
        <v>13</v>
      </c>
      <c r="E11" s="12">
        <f>IFERROR(INDEX(Products[Unit_Price],MATCH(Orders[[#This Row],[SKU]],Products[SKU],0)),"SKU DEFECT")</f>
        <v>1999</v>
      </c>
      <c r="F11" s="12">
        <f>IF(Orders[[#This Row],[Discount_Code]]="LAUNCH10",0.9,IF(Orders[[#This Row],[Discount_Code]]="WHOLESALE",0.75,1))</f>
        <v>1</v>
      </c>
      <c r="G11" s="12">
        <f>IFERROR(Orders[[#This Row],[Qty_Sold]]*Orders[[#This Row],[Mapped_Price]]*Orders[[#This Row],[Discount]],0)</f>
        <v>5997</v>
      </c>
    </row>
    <row r="12" spans="1:7" ht="15" thickBot="1" x14ac:dyDescent="0.4">
      <c r="A12" s="2" t="s">
        <v>29</v>
      </c>
      <c r="B12" s="1" t="s">
        <v>3</v>
      </c>
      <c r="C12" s="1">
        <v>4</v>
      </c>
      <c r="D12" s="3" t="s">
        <v>13</v>
      </c>
      <c r="E12" s="12">
        <f>IFERROR(INDEX(Products[Unit_Price],MATCH(Orders[[#This Row],[SKU]],Products[SKU],0)),"SKU DEFECT")</f>
        <v>999</v>
      </c>
      <c r="F12" s="12">
        <f>IF(Orders[[#This Row],[Discount_Code]]="LAUNCH10",0.9,IF(Orders[[#This Row],[Discount_Code]]="WHOLESALE",0.75,1))</f>
        <v>1</v>
      </c>
      <c r="G12" s="12">
        <f>IFERROR(Orders[[#This Row],[Qty_Sold]]*Orders[[#This Row],[Mapped_Price]]*Orders[[#This Row],[Discount]],0)</f>
        <v>3996</v>
      </c>
    </row>
    <row r="13" spans="1:7" ht="15" thickBot="1" x14ac:dyDescent="0.4">
      <c r="A13" s="2" t="s">
        <v>30</v>
      </c>
      <c r="B13" s="1" t="s">
        <v>80</v>
      </c>
      <c r="C13" s="1">
        <v>2</v>
      </c>
      <c r="D13" s="3" t="s">
        <v>97</v>
      </c>
      <c r="E13" s="12" t="str">
        <f>IFERROR(INDEX(Products[Unit_Price],MATCH(Orders[[#This Row],[SKU]],Products[SKU],0)),"SKU DEFECT")</f>
        <v>SKU DEFECT</v>
      </c>
      <c r="F13" s="12">
        <f>IF(Orders[[#This Row],[Discount_Code]]="LAUNCH10",0.9,IF(Orders[[#This Row],[Discount_Code]]="WHOLESALE",0.75,1))</f>
        <v>1</v>
      </c>
      <c r="G13" s="12">
        <f>IFERROR(Orders[[#This Row],[Qty_Sold]]*Orders[[#This Row],[Mapped_Price]]*Orders[[#This Row],[Discount]],0)</f>
        <v>0</v>
      </c>
    </row>
    <row r="14" spans="1:7" ht="15" thickBot="1" x14ac:dyDescent="0.4">
      <c r="A14" s="2" t="s">
        <v>31</v>
      </c>
      <c r="B14" s="8" t="s">
        <v>5</v>
      </c>
      <c r="C14" s="1">
        <v>2</v>
      </c>
      <c r="D14" s="3" t="s">
        <v>17</v>
      </c>
      <c r="E14" s="12">
        <f>IFERROR(INDEX(Products[Unit_Price],MATCH(Orders[[#This Row],[SKU]],Products[SKU],0)),"SKU DEFECT")</f>
        <v>1999</v>
      </c>
      <c r="F14" s="12">
        <f>IF(Orders[[#This Row],[Discount_Code]]="LAUNCH10",0.9,IF(Orders[[#This Row],[Discount_Code]]="WHOLESALE",0.75,1))</f>
        <v>0.75</v>
      </c>
      <c r="G14" s="12">
        <f>IFERROR(Orders[[#This Row],[Qty_Sold]]*Orders[[#This Row],[Mapped_Price]]*Orders[[#This Row],[Discount]],0)</f>
        <v>2998.5</v>
      </c>
    </row>
    <row r="15" spans="1:7" ht="15" thickBot="1" x14ac:dyDescent="0.4">
      <c r="A15" s="2" t="s">
        <v>32</v>
      </c>
      <c r="B15" s="1" t="s">
        <v>3</v>
      </c>
      <c r="C15" s="1">
        <v>3</v>
      </c>
      <c r="D15" s="3" t="s">
        <v>13</v>
      </c>
      <c r="E15" s="12">
        <f>IFERROR(INDEX(Products[Unit_Price],MATCH(Orders[[#This Row],[SKU]],Products[SKU],0)),"SKU DEFECT")</f>
        <v>999</v>
      </c>
      <c r="F15" s="12">
        <f>IF(Orders[[#This Row],[Discount_Code]]="LAUNCH10",0.9,IF(Orders[[#This Row],[Discount_Code]]="WHOLESALE",0.75,1))</f>
        <v>1</v>
      </c>
      <c r="G15" s="12">
        <f>IFERROR(Orders[[#This Row],[Qty_Sold]]*Orders[[#This Row],[Mapped_Price]]*Orders[[#This Row],[Discount]],0)</f>
        <v>2997</v>
      </c>
    </row>
    <row r="16" spans="1:7" ht="15" thickBot="1" x14ac:dyDescent="0.4">
      <c r="A16" s="2" t="s">
        <v>33</v>
      </c>
      <c r="B16" s="1" t="s">
        <v>5</v>
      </c>
      <c r="C16" s="11">
        <v>1</v>
      </c>
      <c r="D16" s="9" t="s">
        <v>13</v>
      </c>
      <c r="E16" s="12">
        <f>IFERROR(INDEX(Products[Unit_Price],MATCH(Orders[[#This Row],[SKU]],Products[SKU],0)),"SKU DEFECT")</f>
        <v>1999</v>
      </c>
      <c r="F16" s="12">
        <f>IF(Orders[[#This Row],[Discount_Code]]="LAUNCH10",0.9,IF(Orders[[#This Row],[Discount_Code]]="WHOLESALE",0.75,1))</f>
        <v>1</v>
      </c>
      <c r="G16" s="12">
        <f>IFERROR(Orders[[#This Row],[Qty_Sold]]*Orders[[#This Row],[Mapped_Price]]*Orders[[#This Row],[Discount]],0)</f>
        <v>1999</v>
      </c>
    </row>
    <row r="17" spans="1:7" ht="15" thickBot="1" x14ac:dyDescent="0.4">
      <c r="A17" s="2" t="s">
        <v>34</v>
      </c>
      <c r="B17" s="1" t="s">
        <v>3</v>
      </c>
      <c r="C17" s="11">
        <v>9</v>
      </c>
      <c r="D17" s="3" t="s">
        <v>13</v>
      </c>
      <c r="E17" s="12">
        <f>IFERROR(INDEX(Products[Unit_Price],MATCH(Orders[[#This Row],[SKU]],Products[SKU],0)),"SKU DEFECT")</f>
        <v>999</v>
      </c>
      <c r="F17" s="12">
        <f>IF(Orders[[#This Row],[Discount_Code]]="LAUNCH10",0.9,IF(Orders[[#This Row],[Discount_Code]]="WHOLESALE",0.75,1))</f>
        <v>1</v>
      </c>
      <c r="G17" s="12">
        <f>IFERROR(Orders[[#This Row],[Qty_Sold]]*Orders[[#This Row],[Mapped_Price]]*Orders[[#This Row],[Discount]],0)</f>
        <v>8991</v>
      </c>
    </row>
    <row r="18" spans="1:7" ht="15" thickBot="1" x14ac:dyDescent="0.4">
      <c r="A18" s="2" t="s">
        <v>35</v>
      </c>
      <c r="B18" s="1" t="s">
        <v>3</v>
      </c>
      <c r="C18" s="11">
        <v>3</v>
      </c>
      <c r="D18" s="3" t="s">
        <v>98</v>
      </c>
      <c r="E18" s="12">
        <f>IFERROR(INDEX(Products[Unit_Price],MATCH(Orders[[#This Row],[SKU]],Products[SKU],0)),"SKU DEFECT")</f>
        <v>999</v>
      </c>
      <c r="F18" s="12">
        <f>IF(Orders[[#This Row],[Discount_Code]]="LAUNCH10",0.9,IF(Orders[[#This Row],[Discount_Code]]="WHOLESALE",0.75,1))</f>
        <v>1</v>
      </c>
      <c r="G18" s="12">
        <f>IFERROR(Orders[[#This Row],[Qty_Sold]]*Orders[[#This Row],[Mapped_Price]]*Orders[[#This Row],[Discount]],0)</f>
        <v>2997</v>
      </c>
    </row>
    <row r="19" spans="1:7" ht="15" thickBot="1" x14ac:dyDescent="0.4">
      <c r="A19" s="2" t="s">
        <v>36</v>
      </c>
      <c r="B19" s="1" t="s">
        <v>5</v>
      </c>
      <c r="C19" s="11">
        <v>4</v>
      </c>
      <c r="D19" s="3" t="s">
        <v>17</v>
      </c>
      <c r="E19" s="12">
        <f>IFERROR(INDEX(Products[Unit_Price],MATCH(Orders[[#This Row],[SKU]],Products[SKU],0)),"SKU DEFECT")</f>
        <v>1999</v>
      </c>
      <c r="F19" s="12">
        <f>IF(Orders[[#This Row],[Discount_Code]]="LAUNCH10",0.9,IF(Orders[[#This Row],[Discount_Code]]="WHOLESALE",0.75,1))</f>
        <v>0.75</v>
      </c>
      <c r="G19" s="12">
        <f>IFERROR(Orders[[#This Row],[Qty_Sold]]*Orders[[#This Row],[Mapped_Price]]*Orders[[#This Row],[Discount]],0)</f>
        <v>5997</v>
      </c>
    </row>
    <row r="20" spans="1:7" ht="15" thickBot="1" x14ac:dyDescent="0.4">
      <c r="A20" s="2" t="s">
        <v>37</v>
      </c>
      <c r="B20" s="1" t="s">
        <v>3</v>
      </c>
      <c r="C20" s="11">
        <v>5</v>
      </c>
      <c r="D20" s="3" t="s">
        <v>13</v>
      </c>
      <c r="E20" s="12">
        <f>IFERROR(INDEX(Products[Unit_Price],MATCH(Orders[[#This Row],[SKU]],Products[SKU],0)),"SKU DEFECT")</f>
        <v>999</v>
      </c>
      <c r="F20" s="12">
        <f>IF(Orders[[#This Row],[Discount_Code]]="LAUNCH10",0.9,IF(Orders[[#This Row],[Discount_Code]]="WHOLESALE",0.75,1))</f>
        <v>1</v>
      </c>
      <c r="G20" s="12">
        <f>IFERROR(Orders[[#This Row],[Qty_Sold]]*Orders[[#This Row],[Mapped_Price]]*Orders[[#This Row],[Discount]],0)</f>
        <v>4995</v>
      </c>
    </row>
    <row r="21" spans="1:7" ht="15" thickBot="1" x14ac:dyDescent="0.4">
      <c r="A21" s="2" t="s">
        <v>38</v>
      </c>
      <c r="B21" s="1" t="s">
        <v>82</v>
      </c>
      <c r="C21" s="11">
        <v>6</v>
      </c>
      <c r="D21" s="9" t="s">
        <v>13</v>
      </c>
      <c r="E21" s="12" t="str">
        <f>IFERROR(INDEX(Products[Unit_Price],MATCH(Orders[[#This Row],[SKU]],Products[SKU],0)),"SKU DEFECT")</f>
        <v>SKU DEFECT</v>
      </c>
      <c r="F21" s="12">
        <f>IF(Orders[[#This Row],[Discount_Code]]="LAUNCH10",0.9,IF(Orders[[#This Row],[Discount_Code]]="WHOLESALE",0.75,1))</f>
        <v>1</v>
      </c>
      <c r="G21" s="12">
        <f>IFERROR(Orders[[#This Row],[Qty_Sold]]*Orders[[#This Row],[Mapped_Price]]*Orders[[#This Row],[Discount]],0)</f>
        <v>0</v>
      </c>
    </row>
    <row r="22" spans="1:7" ht="15" thickBot="1" x14ac:dyDescent="0.4">
      <c r="A22" s="2" t="s">
        <v>39</v>
      </c>
      <c r="B22" s="8" t="s">
        <v>81</v>
      </c>
      <c r="C22" s="11">
        <v>3</v>
      </c>
      <c r="D22" s="3" t="s">
        <v>13</v>
      </c>
      <c r="E22" s="12" t="str">
        <f>IFERROR(INDEX(Products[Unit_Price],MATCH(Orders[[#This Row],[SKU]],Products[SKU],0)),"SKU DEFECT")</f>
        <v>SKU DEFECT</v>
      </c>
      <c r="F22" s="12">
        <f>IF(Orders[[#This Row],[Discount_Code]]="LAUNCH10",0.9,IF(Orders[[#This Row],[Discount_Code]]="WHOLESALE",0.75,1))</f>
        <v>1</v>
      </c>
      <c r="G22" s="12">
        <f>IFERROR(Orders[[#This Row],[Qty_Sold]]*Orders[[#This Row],[Mapped_Price]]*Orders[[#This Row],[Discount]],0)</f>
        <v>0</v>
      </c>
    </row>
    <row r="23" spans="1:7" ht="15" thickBot="1" x14ac:dyDescent="0.4">
      <c r="A23" s="2" t="s">
        <v>40</v>
      </c>
      <c r="B23" s="1" t="s">
        <v>83</v>
      </c>
      <c r="C23" s="11">
        <v>2</v>
      </c>
      <c r="D23" s="3" t="s">
        <v>98</v>
      </c>
      <c r="E23" s="12" t="str">
        <f>IFERROR(INDEX(Products[Unit_Price],MATCH(Orders[[#This Row],[SKU]],Products[SKU],0)),"SKU DEFECT")</f>
        <v>SKU DEFECT</v>
      </c>
      <c r="F23" s="12">
        <f>IF(Orders[[#This Row],[Discount_Code]]="LAUNCH10",0.9,IF(Orders[[#This Row],[Discount_Code]]="WHOLESALE",0.75,1))</f>
        <v>1</v>
      </c>
      <c r="G23" s="12">
        <f>IFERROR(Orders[[#This Row],[Qty_Sold]]*Orders[[#This Row],[Mapped_Price]]*Orders[[#This Row],[Discount]],0)</f>
        <v>0</v>
      </c>
    </row>
    <row r="24" spans="1:7" ht="15" thickBot="1" x14ac:dyDescent="0.4">
      <c r="A24" s="2" t="s">
        <v>41</v>
      </c>
      <c r="B24" s="1" t="s">
        <v>84</v>
      </c>
      <c r="C24" s="11">
        <v>1</v>
      </c>
      <c r="D24" s="3" t="s">
        <v>17</v>
      </c>
      <c r="E24" s="12" t="str">
        <f>IFERROR(INDEX(Products[Unit_Price],MATCH(Orders[[#This Row],[SKU]],Products[SKU],0)),"SKU DEFECT")</f>
        <v>SKU DEFECT</v>
      </c>
      <c r="F24" s="12">
        <f>IF(Orders[[#This Row],[Discount_Code]]="LAUNCH10",0.9,IF(Orders[[#This Row],[Discount_Code]]="WHOLESALE",0.75,1))</f>
        <v>0.75</v>
      </c>
      <c r="G24" s="12">
        <f>IFERROR(Orders[[#This Row],[Qty_Sold]]*Orders[[#This Row],[Mapped_Price]]*Orders[[#This Row],[Discount]],0)</f>
        <v>0</v>
      </c>
    </row>
    <row r="25" spans="1:7" ht="15" thickBot="1" x14ac:dyDescent="0.4">
      <c r="A25" s="2" t="s">
        <v>42</v>
      </c>
      <c r="B25" s="1" t="s">
        <v>83</v>
      </c>
      <c r="C25" s="11">
        <v>1</v>
      </c>
      <c r="D25" s="3" t="s">
        <v>13</v>
      </c>
      <c r="E25" s="12" t="str">
        <f>IFERROR(INDEX(Products[Unit_Price],MATCH(Orders[[#This Row],[SKU]],Products[SKU],0)),"SKU DEFECT")</f>
        <v>SKU DEFECT</v>
      </c>
      <c r="F25" s="12">
        <f>IF(Orders[[#This Row],[Discount_Code]]="LAUNCH10",0.9,IF(Orders[[#This Row],[Discount_Code]]="WHOLESALE",0.75,1))</f>
        <v>1</v>
      </c>
      <c r="G25" s="12">
        <f>IFERROR(Orders[[#This Row],[Qty_Sold]]*Orders[[#This Row],[Mapped_Price]]*Orders[[#This Row],[Discount]],0)</f>
        <v>0</v>
      </c>
    </row>
    <row r="26" spans="1:7" ht="15" thickBot="1" x14ac:dyDescent="0.4">
      <c r="A26" s="2" t="s">
        <v>43</v>
      </c>
      <c r="B26" s="1" t="s">
        <v>83</v>
      </c>
      <c r="C26" s="11">
        <v>1</v>
      </c>
      <c r="D26" s="9" t="s">
        <v>13</v>
      </c>
      <c r="E26" s="12" t="str">
        <f>IFERROR(INDEX(Products[Unit_Price],MATCH(Orders[[#This Row],[SKU]],Products[SKU],0)),"SKU DEFECT")</f>
        <v>SKU DEFECT</v>
      </c>
      <c r="F26" s="12">
        <f>IF(Orders[[#This Row],[Discount_Code]]="LAUNCH10",0.9,IF(Orders[[#This Row],[Discount_Code]]="WHOLESALE",0.75,1))</f>
        <v>1</v>
      </c>
      <c r="G26" s="12">
        <f>IFERROR(Orders[[#This Row],[Qty_Sold]]*Orders[[#This Row],[Mapped_Price]]*Orders[[#This Row],[Discount]],0)</f>
        <v>0</v>
      </c>
    </row>
    <row r="27" spans="1:7" ht="15" thickBot="1" x14ac:dyDescent="0.4">
      <c r="A27" s="2" t="s">
        <v>44</v>
      </c>
      <c r="B27" s="1" t="s">
        <v>84</v>
      </c>
      <c r="C27" s="11">
        <v>1</v>
      </c>
      <c r="D27" s="3" t="s">
        <v>13</v>
      </c>
      <c r="E27" s="12" t="str">
        <f>IFERROR(INDEX(Products[Unit_Price],MATCH(Orders[[#This Row],[SKU]],Products[SKU],0)),"SKU DEFECT")</f>
        <v>SKU DEFECT</v>
      </c>
      <c r="F27" s="12">
        <f>IF(Orders[[#This Row],[Discount_Code]]="LAUNCH10",0.9,IF(Orders[[#This Row],[Discount_Code]]="WHOLESALE",0.75,1))</f>
        <v>1</v>
      </c>
      <c r="G27" s="12">
        <f>IFERROR(Orders[[#This Row],[Qty_Sold]]*Orders[[#This Row],[Mapped_Price]]*Orders[[#This Row],[Discount]],0)</f>
        <v>0</v>
      </c>
    </row>
    <row r="28" spans="1:7" ht="15" thickBot="1" x14ac:dyDescent="0.4">
      <c r="A28" s="2" t="s">
        <v>45</v>
      </c>
      <c r="B28" s="1" t="s">
        <v>83</v>
      </c>
      <c r="C28" s="11">
        <v>1</v>
      </c>
      <c r="D28" s="3" t="s">
        <v>99</v>
      </c>
      <c r="E28" s="12" t="str">
        <f>IFERROR(INDEX(Products[Unit_Price],MATCH(Orders[[#This Row],[SKU]],Products[SKU],0)),"SKU DEFECT")</f>
        <v>SKU DEFECT</v>
      </c>
      <c r="F28" s="12">
        <f>IF(Orders[[#This Row],[Discount_Code]]="LAUNCH10",0.9,IF(Orders[[#This Row],[Discount_Code]]="WHOLESALE",0.75,1))</f>
        <v>1</v>
      </c>
      <c r="G28" s="12">
        <f>IFERROR(Orders[[#This Row],[Qty_Sold]]*Orders[[#This Row],[Mapped_Price]]*Orders[[#This Row],[Discount]],0)</f>
        <v>0</v>
      </c>
    </row>
    <row r="29" spans="1:7" ht="15" thickBot="1" x14ac:dyDescent="0.4">
      <c r="A29" s="2" t="s">
        <v>46</v>
      </c>
      <c r="B29" s="1" t="s">
        <v>85</v>
      </c>
      <c r="C29" s="11">
        <v>1</v>
      </c>
      <c r="D29" s="3" t="s">
        <v>17</v>
      </c>
      <c r="E29" s="12" t="str">
        <f>IFERROR(INDEX(Products[Unit_Price],MATCH(Orders[[#This Row],[SKU]],Products[SKU],0)),"SKU DEFECT")</f>
        <v>SKU DEFECT</v>
      </c>
      <c r="F29" s="12">
        <f>IF(Orders[[#This Row],[Discount_Code]]="LAUNCH10",0.9,IF(Orders[[#This Row],[Discount_Code]]="WHOLESALE",0.75,1))</f>
        <v>0.75</v>
      </c>
      <c r="G29" s="12">
        <f>IFERROR(Orders[[#This Row],[Qty_Sold]]*Orders[[#This Row],[Mapped_Price]]*Orders[[#This Row],[Discount]],0)</f>
        <v>0</v>
      </c>
    </row>
    <row r="30" spans="1:7" ht="15" thickBot="1" x14ac:dyDescent="0.4">
      <c r="A30" s="2" t="s">
        <v>47</v>
      </c>
      <c r="B30" s="8" t="s">
        <v>84</v>
      </c>
      <c r="C30" s="11">
        <v>1</v>
      </c>
      <c r="D30" s="3" t="s">
        <v>13</v>
      </c>
      <c r="E30" s="12" t="str">
        <f>IFERROR(INDEX(Products[Unit_Price],MATCH(Orders[[#This Row],[SKU]],Products[SKU],0)),"SKU DEFECT")</f>
        <v>SKU DEFECT</v>
      </c>
      <c r="F30" s="12">
        <f>IF(Orders[[#This Row],[Discount_Code]]="LAUNCH10",0.9,IF(Orders[[#This Row],[Discount_Code]]="WHOLESALE",0.75,1))</f>
        <v>1</v>
      </c>
      <c r="G30" s="12">
        <f>IFERROR(Orders[[#This Row],[Qty_Sold]]*Orders[[#This Row],[Mapped_Price]]*Orders[[#This Row],[Discount]],0)</f>
        <v>0</v>
      </c>
    </row>
    <row r="31" spans="1:7" ht="15" thickBot="1" x14ac:dyDescent="0.4">
      <c r="A31" s="2" t="s">
        <v>48</v>
      </c>
      <c r="B31" s="1" t="s">
        <v>86</v>
      </c>
      <c r="C31" s="11">
        <v>1</v>
      </c>
      <c r="D31" s="9" t="s">
        <v>13</v>
      </c>
      <c r="E31" s="12" t="str">
        <f>IFERROR(INDEX(Products[Unit_Price],MATCH(Orders[[#This Row],[SKU]],Products[SKU],0)),"SKU DEFECT")</f>
        <v>SKU DEFECT</v>
      </c>
      <c r="F31" s="12">
        <f>IF(Orders[[#This Row],[Discount_Code]]="LAUNCH10",0.9,IF(Orders[[#This Row],[Discount_Code]]="WHOLESALE",0.75,1))</f>
        <v>1</v>
      </c>
      <c r="G31" s="12">
        <f>IFERROR(Orders[[#This Row],[Qty_Sold]]*Orders[[#This Row],[Mapped_Price]]*Orders[[#This Row],[Discount]],0)</f>
        <v>0</v>
      </c>
    </row>
    <row r="32" spans="1:7" ht="15" thickBot="1" x14ac:dyDescent="0.4">
      <c r="A32" s="2" t="s">
        <v>49</v>
      </c>
      <c r="B32" s="1" t="s">
        <v>87</v>
      </c>
      <c r="C32" s="11">
        <v>6</v>
      </c>
      <c r="D32" s="3" t="s">
        <v>13</v>
      </c>
      <c r="E32" s="12" t="str">
        <f>IFERROR(INDEX(Products[Unit_Price],MATCH(Orders[[#This Row],[SKU]],Products[SKU],0)),"SKU DEFECT")</f>
        <v>SKU DEFECT</v>
      </c>
      <c r="F32" s="12">
        <f>IF(Orders[[#This Row],[Discount_Code]]="LAUNCH10",0.9,IF(Orders[[#This Row],[Discount_Code]]="WHOLESALE",0.75,1))</f>
        <v>1</v>
      </c>
      <c r="G32" s="12">
        <f>IFERROR(Orders[[#This Row],[Qty_Sold]]*Orders[[#This Row],[Mapped_Price]]*Orders[[#This Row],[Discount]],0)</f>
        <v>0</v>
      </c>
    </row>
    <row r="33" spans="1:7" ht="15" thickBot="1" x14ac:dyDescent="0.4">
      <c r="A33" s="2" t="s">
        <v>50</v>
      </c>
      <c r="B33" s="1" t="s">
        <v>86</v>
      </c>
      <c r="C33" s="11">
        <v>6</v>
      </c>
      <c r="D33" s="3" t="s">
        <v>99</v>
      </c>
      <c r="E33" s="12" t="str">
        <f>IFERROR(INDEX(Products[Unit_Price],MATCH(Orders[[#This Row],[SKU]],Products[SKU],0)),"SKU DEFECT")</f>
        <v>SKU DEFECT</v>
      </c>
      <c r="F33" s="12">
        <f>IF(Orders[[#This Row],[Discount_Code]]="LAUNCH10",0.9,IF(Orders[[#This Row],[Discount_Code]]="WHOLESALE",0.75,1))</f>
        <v>1</v>
      </c>
      <c r="G33" s="12">
        <f>IFERROR(Orders[[#This Row],[Qty_Sold]]*Orders[[#This Row],[Mapped_Price]]*Orders[[#This Row],[Discount]],0)</f>
        <v>0</v>
      </c>
    </row>
    <row r="34" spans="1:7" ht="15" thickBot="1" x14ac:dyDescent="0.4">
      <c r="A34" s="2" t="s">
        <v>51</v>
      </c>
      <c r="B34" s="1" t="s">
        <v>86</v>
      </c>
      <c r="C34" s="11">
        <v>6</v>
      </c>
      <c r="D34" s="3" t="s">
        <v>17</v>
      </c>
      <c r="E34" s="12" t="str">
        <f>IFERROR(INDEX(Products[Unit_Price],MATCH(Orders[[#This Row],[SKU]],Products[SKU],0)),"SKU DEFECT")</f>
        <v>SKU DEFECT</v>
      </c>
      <c r="F34" s="12">
        <f>IF(Orders[[#This Row],[Discount_Code]]="LAUNCH10",0.9,IF(Orders[[#This Row],[Discount_Code]]="WHOLESALE",0.75,1))</f>
        <v>0.75</v>
      </c>
      <c r="G34" s="12">
        <f>IFERROR(Orders[[#This Row],[Qty_Sold]]*Orders[[#This Row],[Mapped_Price]]*Orders[[#This Row],[Discount]],0)</f>
        <v>0</v>
      </c>
    </row>
    <row r="35" spans="1:7" ht="15" thickBot="1" x14ac:dyDescent="0.4">
      <c r="A35" s="2" t="s">
        <v>52</v>
      </c>
      <c r="B35" s="1" t="s">
        <v>87</v>
      </c>
      <c r="C35" s="11">
        <v>6</v>
      </c>
      <c r="D35" s="3" t="s">
        <v>13</v>
      </c>
      <c r="E35" s="12" t="str">
        <f>IFERROR(INDEX(Products[Unit_Price],MATCH(Orders[[#This Row],[SKU]],Products[SKU],0)),"SKU DEFECT")</f>
        <v>SKU DEFECT</v>
      </c>
      <c r="F35" s="12">
        <f>IF(Orders[[#This Row],[Discount_Code]]="LAUNCH10",0.9,IF(Orders[[#This Row],[Discount_Code]]="WHOLESALE",0.75,1))</f>
        <v>1</v>
      </c>
      <c r="G35" s="12">
        <f>IFERROR(Orders[[#This Row],[Qty_Sold]]*Orders[[#This Row],[Mapped_Price]]*Orders[[#This Row],[Discount]],0)</f>
        <v>0</v>
      </c>
    </row>
    <row r="36" spans="1:7" ht="15" thickBot="1" x14ac:dyDescent="0.4">
      <c r="A36" s="2" t="s">
        <v>53</v>
      </c>
      <c r="B36" s="1" t="s">
        <v>86</v>
      </c>
      <c r="C36" s="11">
        <v>4</v>
      </c>
      <c r="D36" s="9" t="s">
        <v>13</v>
      </c>
      <c r="E36" s="12" t="str">
        <f>IFERROR(INDEX(Products[Unit_Price],MATCH(Orders[[#This Row],[SKU]],Products[SKU],0)),"SKU DEFECT")</f>
        <v>SKU DEFECT</v>
      </c>
      <c r="F36" s="12">
        <f>IF(Orders[[#This Row],[Discount_Code]]="LAUNCH10",0.9,IF(Orders[[#This Row],[Discount_Code]]="WHOLESALE",0.75,1))</f>
        <v>1</v>
      </c>
      <c r="G36" s="12">
        <f>IFERROR(Orders[[#This Row],[Qty_Sold]]*Orders[[#This Row],[Mapped_Price]]*Orders[[#This Row],[Discount]],0)</f>
        <v>0</v>
      </c>
    </row>
    <row r="37" spans="1:7" ht="15" thickBot="1" x14ac:dyDescent="0.4">
      <c r="A37" s="2" t="s">
        <v>54</v>
      </c>
      <c r="B37" s="1" t="s">
        <v>88</v>
      </c>
      <c r="C37" s="11">
        <v>4</v>
      </c>
      <c r="D37" s="3" t="s">
        <v>13</v>
      </c>
      <c r="E37" s="12" t="str">
        <f>IFERROR(INDEX(Products[Unit_Price],MATCH(Orders[[#This Row],[SKU]],Products[SKU],0)),"SKU DEFECT")</f>
        <v>SKU DEFECT</v>
      </c>
      <c r="F37" s="12">
        <f>IF(Orders[[#This Row],[Discount_Code]]="LAUNCH10",0.9,IF(Orders[[#This Row],[Discount_Code]]="WHOLESALE",0.75,1))</f>
        <v>1</v>
      </c>
      <c r="G37" s="12">
        <f>IFERROR(Orders[[#This Row],[Qty_Sold]]*Orders[[#This Row],[Mapped_Price]]*Orders[[#This Row],[Discount]],0)</f>
        <v>0</v>
      </c>
    </row>
    <row r="38" spans="1:7" ht="15" thickBot="1" x14ac:dyDescent="0.4">
      <c r="A38" s="2" t="s">
        <v>55</v>
      </c>
      <c r="B38" s="8" t="s">
        <v>87</v>
      </c>
      <c r="C38" s="11">
        <v>4</v>
      </c>
      <c r="D38" s="3" t="s">
        <v>100</v>
      </c>
      <c r="E38" s="12" t="str">
        <f>IFERROR(INDEX(Products[Unit_Price],MATCH(Orders[[#This Row],[SKU]],Products[SKU],0)),"SKU DEFECT")</f>
        <v>SKU DEFECT</v>
      </c>
      <c r="F38" s="12">
        <f>IF(Orders[[#This Row],[Discount_Code]]="LAUNCH10",0.9,IF(Orders[[#This Row],[Discount_Code]]="WHOLESALE",0.75,1))</f>
        <v>1</v>
      </c>
      <c r="G38" s="12">
        <f>IFERROR(Orders[[#This Row],[Qty_Sold]]*Orders[[#This Row],[Mapped_Price]]*Orders[[#This Row],[Discount]],0)</f>
        <v>0</v>
      </c>
    </row>
    <row r="39" spans="1:7" ht="15" thickBot="1" x14ac:dyDescent="0.4">
      <c r="A39" s="2" t="s">
        <v>56</v>
      </c>
      <c r="B39" s="1" t="s">
        <v>89</v>
      </c>
      <c r="C39" s="11">
        <v>4</v>
      </c>
      <c r="D39" s="3" t="s">
        <v>17</v>
      </c>
      <c r="E39" s="12" t="str">
        <f>IFERROR(INDEX(Products[Unit_Price],MATCH(Orders[[#This Row],[SKU]],Products[SKU],0)),"SKU DEFECT")</f>
        <v>SKU DEFECT</v>
      </c>
      <c r="F39" s="12">
        <f>IF(Orders[[#This Row],[Discount_Code]]="LAUNCH10",0.9,IF(Orders[[#This Row],[Discount_Code]]="WHOLESALE",0.75,1))</f>
        <v>0.75</v>
      </c>
      <c r="G39" s="12">
        <f>IFERROR(Orders[[#This Row],[Qty_Sold]]*Orders[[#This Row],[Mapped_Price]]*Orders[[#This Row],[Discount]],0)</f>
        <v>0</v>
      </c>
    </row>
    <row r="40" spans="1:7" ht="15" thickBot="1" x14ac:dyDescent="0.4">
      <c r="A40" s="2" t="s">
        <v>57</v>
      </c>
      <c r="B40" s="1" t="s">
        <v>90</v>
      </c>
      <c r="C40" s="11">
        <v>3</v>
      </c>
      <c r="D40" s="3" t="s">
        <v>13</v>
      </c>
      <c r="E40" s="12" t="str">
        <f>IFERROR(INDEX(Products[Unit_Price],MATCH(Orders[[#This Row],[SKU]],Products[SKU],0)),"SKU DEFECT")</f>
        <v>SKU DEFECT</v>
      </c>
      <c r="F40" s="12">
        <f>IF(Orders[[#This Row],[Discount_Code]]="LAUNCH10",0.9,IF(Orders[[#This Row],[Discount_Code]]="WHOLESALE",0.75,1))</f>
        <v>1</v>
      </c>
      <c r="G40" s="12">
        <f>IFERROR(Orders[[#This Row],[Qty_Sold]]*Orders[[#This Row],[Mapped_Price]]*Orders[[#This Row],[Discount]],0)</f>
        <v>0</v>
      </c>
    </row>
    <row r="41" spans="1:7" ht="15" thickBot="1" x14ac:dyDescent="0.4">
      <c r="A41" s="2" t="s">
        <v>58</v>
      </c>
      <c r="B41" s="1" t="s">
        <v>89</v>
      </c>
      <c r="C41" s="11">
        <v>3</v>
      </c>
      <c r="D41" s="9" t="s">
        <v>13</v>
      </c>
      <c r="E41" s="12" t="str">
        <f>IFERROR(INDEX(Products[Unit_Price],MATCH(Orders[[#This Row],[SKU]],Products[SKU],0)),"SKU DEFECT")</f>
        <v>SKU DEFECT</v>
      </c>
      <c r="F41" s="12">
        <f>IF(Orders[[#This Row],[Discount_Code]]="LAUNCH10",0.9,IF(Orders[[#This Row],[Discount_Code]]="WHOLESALE",0.75,1))</f>
        <v>1</v>
      </c>
      <c r="G41" s="12">
        <f>IFERROR(Orders[[#This Row],[Qty_Sold]]*Orders[[#This Row],[Mapped_Price]]*Orders[[#This Row],[Discount]],0)</f>
        <v>0</v>
      </c>
    </row>
    <row r="42" spans="1:7" ht="15" thickBot="1" x14ac:dyDescent="0.4">
      <c r="A42" s="2" t="s">
        <v>59</v>
      </c>
      <c r="B42" s="1" t="s">
        <v>89</v>
      </c>
      <c r="C42" s="11">
        <v>3</v>
      </c>
      <c r="D42" s="3" t="s">
        <v>13</v>
      </c>
      <c r="E42" s="12" t="str">
        <f>IFERROR(INDEX(Products[Unit_Price],MATCH(Orders[[#This Row],[SKU]],Products[SKU],0)),"SKU DEFECT")</f>
        <v>SKU DEFECT</v>
      </c>
      <c r="F42" s="12">
        <f>IF(Orders[[#This Row],[Discount_Code]]="LAUNCH10",0.9,IF(Orders[[#This Row],[Discount_Code]]="WHOLESALE",0.75,1))</f>
        <v>1</v>
      </c>
      <c r="G42" s="12">
        <f>IFERROR(Orders[[#This Row],[Qty_Sold]]*Orders[[#This Row],[Mapped_Price]]*Orders[[#This Row],[Discount]],0)</f>
        <v>0</v>
      </c>
    </row>
    <row r="43" spans="1:7" ht="15" thickBot="1" x14ac:dyDescent="0.4">
      <c r="A43" s="2" t="s">
        <v>60</v>
      </c>
      <c r="B43" s="1" t="s">
        <v>90</v>
      </c>
      <c r="C43" s="11">
        <v>32</v>
      </c>
      <c r="D43" s="3" t="s">
        <v>100</v>
      </c>
      <c r="E43" s="12" t="str">
        <f>IFERROR(INDEX(Products[Unit_Price],MATCH(Orders[[#This Row],[SKU]],Products[SKU],0)),"SKU DEFECT")</f>
        <v>SKU DEFECT</v>
      </c>
      <c r="F43" s="12">
        <f>IF(Orders[[#This Row],[Discount_Code]]="LAUNCH10",0.9,IF(Orders[[#This Row],[Discount_Code]]="WHOLESALE",0.75,1))</f>
        <v>1</v>
      </c>
      <c r="G43" s="12">
        <f>IFERROR(Orders[[#This Row],[Qty_Sold]]*Orders[[#This Row],[Mapped_Price]]*Orders[[#This Row],[Discount]],0)</f>
        <v>0</v>
      </c>
    </row>
    <row r="44" spans="1:7" ht="15" thickBot="1" x14ac:dyDescent="0.4">
      <c r="A44" s="2" t="s">
        <v>61</v>
      </c>
      <c r="B44" s="1" t="s">
        <v>89</v>
      </c>
      <c r="C44" s="11">
        <v>2</v>
      </c>
      <c r="D44" s="3" t="s">
        <v>17</v>
      </c>
      <c r="E44" s="12" t="str">
        <f>IFERROR(INDEX(Products[Unit_Price],MATCH(Orders[[#This Row],[SKU]],Products[SKU],0)),"SKU DEFECT")</f>
        <v>SKU DEFECT</v>
      </c>
      <c r="F44" s="12">
        <f>IF(Orders[[#This Row],[Discount_Code]]="LAUNCH10",0.9,IF(Orders[[#This Row],[Discount_Code]]="WHOLESALE",0.75,1))</f>
        <v>0.75</v>
      </c>
      <c r="G44" s="12">
        <f>IFERROR(Orders[[#This Row],[Qty_Sold]]*Orders[[#This Row],[Mapped_Price]]*Orders[[#This Row],[Discount]],0)</f>
        <v>0</v>
      </c>
    </row>
    <row r="45" spans="1:7" ht="15" thickBot="1" x14ac:dyDescent="0.4">
      <c r="A45" s="2" t="s">
        <v>62</v>
      </c>
      <c r="B45" s="1" t="s">
        <v>91</v>
      </c>
      <c r="C45" s="11">
        <v>2</v>
      </c>
      <c r="D45" s="3" t="s">
        <v>13</v>
      </c>
      <c r="E45" s="12" t="str">
        <f>IFERROR(INDEX(Products[Unit_Price],MATCH(Orders[[#This Row],[SKU]],Products[SKU],0)),"SKU DEFECT")</f>
        <v>SKU DEFECT</v>
      </c>
      <c r="F45" s="12">
        <f>IF(Orders[[#This Row],[Discount_Code]]="LAUNCH10",0.9,IF(Orders[[#This Row],[Discount_Code]]="WHOLESALE",0.75,1))</f>
        <v>1</v>
      </c>
      <c r="G45" s="12">
        <f>IFERROR(Orders[[#This Row],[Qty_Sold]]*Orders[[#This Row],[Mapped_Price]]*Orders[[#This Row],[Discount]],0)</f>
        <v>0</v>
      </c>
    </row>
    <row r="46" spans="1:7" ht="15" thickBot="1" x14ac:dyDescent="0.4">
      <c r="A46" s="2" t="s">
        <v>63</v>
      </c>
      <c r="B46" s="8" t="s">
        <v>90</v>
      </c>
      <c r="C46" s="11">
        <v>7</v>
      </c>
      <c r="D46" s="9" t="s">
        <v>13</v>
      </c>
      <c r="E46" s="12" t="str">
        <f>IFERROR(INDEX(Products[Unit_Price],MATCH(Orders[[#This Row],[SKU]],Products[SKU],0)),"SKU DEFECT")</f>
        <v>SKU DEFECT</v>
      </c>
      <c r="F46" s="12">
        <f>IF(Orders[[#This Row],[Discount_Code]]="LAUNCH10",0.9,IF(Orders[[#This Row],[Discount_Code]]="WHOLESALE",0.75,1))</f>
        <v>1</v>
      </c>
      <c r="G46" s="12">
        <f>IFERROR(Orders[[#This Row],[Qty_Sold]]*Orders[[#This Row],[Mapped_Price]]*Orders[[#This Row],[Discount]],0)</f>
        <v>0</v>
      </c>
    </row>
    <row r="47" spans="1:7" ht="15" thickBot="1" x14ac:dyDescent="0.4">
      <c r="A47" s="2" t="s">
        <v>64</v>
      </c>
      <c r="B47" s="1" t="s">
        <v>92</v>
      </c>
      <c r="C47" s="11">
        <v>7</v>
      </c>
      <c r="D47" s="3" t="s">
        <v>13</v>
      </c>
      <c r="E47" s="12" t="str">
        <f>IFERROR(INDEX(Products[Unit_Price],MATCH(Orders[[#This Row],[SKU]],Products[SKU],0)),"SKU DEFECT")</f>
        <v>SKU DEFECT</v>
      </c>
      <c r="F47" s="12">
        <f>IF(Orders[[#This Row],[Discount_Code]]="LAUNCH10",0.9,IF(Orders[[#This Row],[Discount_Code]]="WHOLESALE",0.75,1))</f>
        <v>1</v>
      </c>
      <c r="G47" s="12">
        <f>IFERROR(Orders[[#This Row],[Qty_Sold]]*Orders[[#This Row],[Mapped_Price]]*Orders[[#This Row],[Discount]],0)</f>
        <v>0</v>
      </c>
    </row>
    <row r="48" spans="1:7" ht="15" thickBot="1" x14ac:dyDescent="0.4">
      <c r="A48" s="2" t="s">
        <v>65</v>
      </c>
      <c r="B48" s="1" t="s">
        <v>93</v>
      </c>
      <c r="C48" s="11">
        <v>5</v>
      </c>
      <c r="D48" s="3" t="s">
        <v>101</v>
      </c>
      <c r="E48" s="12" t="str">
        <f>IFERROR(INDEX(Products[Unit_Price],MATCH(Orders[[#This Row],[SKU]],Products[SKU],0)),"SKU DEFECT")</f>
        <v>SKU DEFECT</v>
      </c>
      <c r="F48" s="12">
        <f>IF(Orders[[#This Row],[Discount_Code]]="LAUNCH10",0.9,IF(Orders[[#This Row],[Discount_Code]]="WHOLESALE",0.75,1))</f>
        <v>1</v>
      </c>
      <c r="G48" s="12">
        <f>IFERROR(Orders[[#This Row],[Qty_Sold]]*Orders[[#This Row],[Mapped_Price]]*Orders[[#This Row],[Discount]],0)</f>
        <v>0</v>
      </c>
    </row>
    <row r="49" spans="1:7" ht="15" thickBot="1" x14ac:dyDescent="0.4">
      <c r="A49" s="2" t="s">
        <v>66</v>
      </c>
      <c r="B49" s="1" t="s">
        <v>5</v>
      </c>
      <c r="C49" s="11">
        <v>54</v>
      </c>
      <c r="D49" s="3" t="s">
        <v>17</v>
      </c>
      <c r="E49" s="12">
        <f>IFERROR(INDEX(Products[Unit_Price],MATCH(Orders[[#This Row],[SKU]],Products[SKU],0)),"SKU DEFECT")</f>
        <v>1999</v>
      </c>
      <c r="F49" s="12">
        <f>IF(Orders[[#This Row],[Discount_Code]]="LAUNCH10",0.9,IF(Orders[[#This Row],[Discount_Code]]="WHOLESALE",0.75,1))</f>
        <v>0.75</v>
      </c>
      <c r="G49" s="12">
        <f>IFERROR(Orders[[#This Row],[Qty_Sold]]*Orders[[#This Row],[Mapped_Price]]*Orders[[#This Row],[Discount]],0)</f>
        <v>80959.5</v>
      </c>
    </row>
    <row r="50" spans="1:7" ht="15" thickBot="1" x14ac:dyDescent="0.4">
      <c r="A50" s="2" t="s">
        <v>67</v>
      </c>
      <c r="B50" s="1" t="s">
        <v>92</v>
      </c>
      <c r="C50" s="11">
        <v>3</v>
      </c>
      <c r="D50" s="3" t="s">
        <v>13</v>
      </c>
      <c r="E50" s="12" t="str">
        <f>IFERROR(INDEX(Products[Unit_Price],MATCH(Orders[[#This Row],[SKU]],Products[SKU],0)),"SKU DEFECT")</f>
        <v>SKU DEFECT</v>
      </c>
      <c r="F50" s="12">
        <f>IF(Orders[[#This Row],[Discount_Code]]="LAUNCH10",0.9,IF(Orders[[#This Row],[Discount_Code]]="WHOLESALE",0.75,1))</f>
        <v>1</v>
      </c>
      <c r="G50" s="12">
        <f>IFERROR(Orders[[#This Row],[Qty_Sold]]*Orders[[#This Row],[Mapped_Price]]*Orders[[#This Row],[Discount]],0)</f>
        <v>0</v>
      </c>
    </row>
    <row r="51" spans="1:7" ht="15" thickBot="1" x14ac:dyDescent="0.4">
      <c r="A51" s="2" t="s">
        <v>68</v>
      </c>
      <c r="B51" s="1" t="s">
        <v>5</v>
      </c>
      <c r="C51" s="11">
        <v>4</v>
      </c>
      <c r="D51" s="9" t="s">
        <v>13</v>
      </c>
      <c r="E51" s="12">
        <f>IFERROR(INDEX(Products[Unit_Price],MATCH(Orders[[#This Row],[SKU]],Products[SKU],0)),"SKU DEFECT")</f>
        <v>1999</v>
      </c>
      <c r="F51" s="12">
        <f>IF(Orders[[#This Row],[Discount_Code]]="LAUNCH10",0.9,IF(Orders[[#This Row],[Discount_Code]]="WHOLESALE",0.75,1))</f>
        <v>1</v>
      </c>
      <c r="G51" s="12">
        <f>IFERROR(Orders[[#This Row],[Qty_Sold]]*Orders[[#This Row],[Mapped_Price]]*Orders[[#This Row],[Discount]],0)</f>
        <v>7996</v>
      </c>
    </row>
    <row r="52" spans="1:7" ht="15" thickBot="1" x14ac:dyDescent="0.4">
      <c r="A52" s="2" t="s">
        <v>69</v>
      </c>
      <c r="B52" s="1" t="s">
        <v>92</v>
      </c>
      <c r="C52" s="11">
        <v>3</v>
      </c>
      <c r="D52" s="3" t="s">
        <v>13</v>
      </c>
      <c r="E52" s="12" t="str">
        <f>IFERROR(INDEX(Products[Unit_Price],MATCH(Orders[[#This Row],[SKU]],Products[SKU],0)),"SKU DEFECT")</f>
        <v>SKU DEFECT</v>
      </c>
      <c r="F52" s="12">
        <f>IF(Orders[[#This Row],[Discount_Code]]="LAUNCH10",0.9,IF(Orders[[#This Row],[Discount_Code]]="WHOLESALE",0.75,1))</f>
        <v>1</v>
      </c>
      <c r="G52" s="12">
        <f>IFERROR(Orders[[#This Row],[Qty_Sold]]*Orders[[#This Row],[Mapped_Price]]*Orders[[#This Row],[Discount]],0)</f>
        <v>0</v>
      </c>
    </row>
    <row r="53" spans="1:7" ht="15" thickBot="1" x14ac:dyDescent="0.4">
      <c r="A53" s="2" t="s">
        <v>70</v>
      </c>
      <c r="B53" s="1" t="s">
        <v>103</v>
      </c>
      <c r="C53" s="11">
        <v>7</v>
      </c>
      <c r="D53" s="3" t="s">
        <v>101</v>
      </c>
      <c r="E53" s="12" t="str">
        <f>IFERROR(INDEX(Products[Unit_Price],MATCH(Orders[[#This Row],[SKU]],Products[SKU],0)),"SKU DEFECT")</f>
        <v>SKU DEFECT</v>
      </c>
      <c r="F53" s="12">
        <f>IF(Orders[[#This Row],[Discount_Code]]="LAUNCH10",0.9,IF(Orders[[#This Row],[Discount_Code]]="WHOLESALE",0.75,1))</f>
        <v>1</v>
      </c>
      <c r="G53" s="12">
        <f>IFERROR(Orders[[#This Row],[Qty_Sold]]*Orders[[#This Row],[Mapped_Price]]*Orders[[#This Row],[Discount]],0)</f>
        <v>0</v>
      </c>
    </row>
    <row r="54" spans="1:7" ht="15" thickBot="1" x14ac:dyDescent="0.4">
      <c r="A54" s="2" t="s">
        <v>71</v>
      </c>
      <c r="B54" s="8" t="s">
        <v>93</v>
      </c>
      <c r="C54" s="11">
        <v>6</v>
      </c>
      <c r="D54" s="3" t="s">
        <v>17</v>
      </c>
      <c r="E54" s="12" t="str">
        <f>IFERROR(INDEX(Products[Unit_Price],MATCH(Orders[[#This Row],[SKU]],Products[SKU],0)),"SKU DEFECT")</f>
        <v>SKU DEFECT</v>
      </c>
      <c r="F54" s="12">
        <f>IF(Orders[[#This Row],[Discount_Code]]="LAUNCH10",0.9,IF(Orders[[#This Row],[Discount_Code]]="WHOLESALE",0.75,1))</f>
        <v>0.75</v>
      </c>
      <c r="G54" s="12">
        <f>IFERROR(Orders[[#This Row],[Qty_Sold]]*Orders[[#This Row],[Mapped_Price]]*Orders[[#This Row],[Discount]],0)</f>
        <v>0</v>
      </c>
    </row>
    <row r="55" spans="1:7" ht="15" thickBot="1" x14ac:dyDescent="0.4">
      <c r="A55" s="2" t="s">
        <v>72</v>
      </c>
      <c r="B55" s="1" t="s">
        <v>94</v>
      </c>
      <c r="C55" s="11">
        <v>4</v>
      </c>
      <c r="D55" s="3" t="s">
        <v>13</v>
      </c>
      <c r="E55" s="12" t="str">
        <f>IFERROR(INDEX(Products[Unit_Price],MATCH(Orders[[#This Row],[SKU]],Products[SKU],0)),"SKU DEFECT")</f>
        <v>SKU DEFECT</v>
      </c>
      <c r="F55" s="12">
        <f>IF(Orders[[#This Row],[Discount_Code]]="LAUNCH10",0.9,IF(Orders[[#This Row],[Discount_Code]]="WHOLESALE",0.75,1))</f>
        <v>1</v>
      </c>
      <c r="G55" s="12">
        <f>IFERROR(Orders[[#This Row],[Qty_Sold]]*Orders[[#This Row],[Mapped_Price]]*Orders[[#This Row],[Discount]],0)</f>
        <v>0</v>
      </c>
    </row>
    <row r="56" spans="1:7" ht="15" thickBot="1" x14ac:dyDescent="0.4">
      <c r="A56" s="2" t="s">
        <v>73</v>
      </c>
      <c r="B56" s="1" t="s">
        <v>95</v>
      </c>
      <c r="C56" s="11">
        <v>3</v>
      </c>
      <c r="D56" s="9" t="s">
        <v>13</v>
      </c>
      <c r="E56" s="12" t="str">
        <f>IFERROR(INDEX(Products[Unit_Price],MATCH(Orders[[#This Row],[SKU]],Products[SKU],0)),"SKU DEFECT")</f>
        <v>SKU DEFECT</v>
      </c>
      <c r="F56" s="12">
        <f>IF(Orders[[#This Row],[Discount_Code]]="LAUNCH10",0.9,IF(Orders[[#This Row],[Discount_Code]]="WHOLESALE",0.75,1))</f>
        <v>1</v>
      </c>
      <c r="G56" s="12">
        <f>IFERROR(Orders[[#This Row],[Qty_Sold]]*Orders[[#This Row],[Mapped_Price]]*Orders[[#This Row],[Discount]],0)</f>
        <v>0</v>
      </c>
    </row>
    <row r="57" spans="1:7" ht="15" thickBot="1" x14ac:dyDescent="0.4">
      <c r="A57" s="2" t="s">
        <v>74</v>
      </c>
      <c r="B57" s="1" t="s">
        <v>94</v>
      </c>
      <c r="C57" s="11">
        <v>2</v>
      </c>
      <c r="D57" s="3" t="s">
        <v>13</v>
      </c>
      <c r="E57" s="12" t="str">
        <f>IFERROR(INDEX(Products[Unit_Price],MATCH(Orders[[#This Row],[SKU]],Products[SKU],0)),"SKU DEFECT")</f>
        <v>SKU DEFECT</v>
      </c>
      <c r="F57" s="12">
        <f>IF(Orders[[#This Row],[Discount_Code]]="LAUNCH10",0.9,IF(Orders[[#This Row],[Discount_Code]]="WHOLESALE",0.75,1))</f>
        <v>1</v>
      </c>
      <c r="G57" s="12">
        <f>IFERROR(Orders[[#This Row],[Qty_Sold]]*Orders[[#This Row],[Mapped_Price]]*Orders[[#This Row],[Discount]],0)</f>
        <v>0</v>
      </c>
    </row>
    <row r="58" spans="1:7" ht="15" thickBot="1" x14ac:dyDescent="0.4">
      <c r="A58" s="2" t="s">
        <v>75</v>
      </c>
      <c r="B58" s="1" t="s">
        <v>94</v>
      </c>
      <c r="C58" s="11">
        <v>3</v>
      </c>
      <c r="D58" s="3" t="s">
        <v>102</v>
      </c>
      <c r="E58" s="12" t="str">
        <f>IFERROR(INDEX(Products[Unit_Price],MATCH(Orders[[#This Row],[SKU]],Products[SKU],0)),"SKU DEFECT")</f>
        <v>SKU DEFECT</v>
      </c>
      <c r="F58" s="12">
        <f>IF(Orders[[#This Row],[Discount_Code]]="LAUNCH10",0.9,IF(Orders[[#This Row],[Discount_Code]]="WHOLESALE",0.75,1))</f>
        <v>1</v>
      </c>
      <c r="G58" s="12">
        <f>IFERROR(Orders[[#This Row],[Qty_Sold]]*Orders[[#This Row],[Mapped_Price]]*Orders[[#This Row],[Discount]],0)</f>
        <v>0</v>
      </c>
    </row>
    <row r="59" spans="1:7" ht="15" thickBot="1" x14ac:dyDescent="0.4">
      <c r="A59" s="2" t="s">
        <v>76</v>
      </c>
      <c r="B59" s="1" t="s">
        <v>95</v>
      </c>
      <c r="C59" s="11">
        <v>4</v>
      </c>
      <c r="D59" s="3" t="s">
        <v>17</v>
      </c>
      <c r="E59" s="12" t="str">
        <f>IFERROR(INDEX(Products[Unit_Price],MATCH(Orders[[#This Row],[SKU]],Products[SKU],0)),"SKU DEFECT")</f>
        <v>SKU DEFECT</v>
      </c>
      <c r="F59" s="12">
        <f>IF(Orders[[#This Row],[Discount_Code]]="LAUNCH10",0.9,IF(Orders[[#This Row],[Discount_Code]]="WHOLESALE",0.75,1))</f>
        <v>0.75</v>
      </c>
      <c r="G59" s="12">
        <f>IFERROR(Orders[[#This Row],[Qty_Sold]]*Orders[[#This Row],[Mapped_Price]]*Orders[[#This Row],[Discount]],0)</f>
        <v>0</v>
      </c>
    </row>
    <row r="60" spans="1:7" ht="15" thickBot="1" x14ac:dyDescent="0.4">
      <c r="A60" s="2" t="s">
        <v>77</v>
      </c>
      <c r="B60" s="1" t="s">
        <v>94</v>
      </c>
      <c r="C60" s="11">
        <v>6</v>
      </c>
      <c r="D60" s="3" t="s">
        <v>13</v>
      </c>
      <c r="E60" s="12" t="str">
        <f>IFERROR(INDEX(Products[Unit_Price],MATCH(Orders[[#This Row],[SKU]],Products[SKU],0)),"SKU DEFECT")</f>
        <v>SKU DEFECT</v>
      </c>
      <c r="F60" s="12">
        <f>IF(Orders[[#This Row],[Discount_Code]]="LAUNCH10",0.9,IF(Orders[[#This Row],[Discount_Code]]="WHOLESALE",0.75,1))</f>
        <v>1</v>
      </c>
      <c r="G60" s="12">
        <f>IFERROR(Orders[[#This Row],[Qty_Sold]]*Orders[[#This Row],[Mapped_Price]]*Orders[[#This Row],[Discount]],0)</f>
        <v>0</v>
      </c>
    </row>
    <row r="61" spans="1:7" ht="15" thickBot="1" x14ac:dyDescent="0.4">
      <c r="A61" s="2" t="s">
        <v>78</v>
      </c>
      <c r="B61" s="1" t="s">
        <v>96</v>
      </c>
      <c r="C61" s="11">
        <v>3</v>
      </c>
      <c r="D61" s="9" t="s">
        <v>13</v>
      </c>
      <c r="E61" s="12" t="str">
        <f>IFERROR(INDEX(Products[Unit_Price],MATCH(Orders[[#This Row],[SKU]],Products[SKU],0)),"SKU DEFECT")</f>
        <v>SKU DEFECT</v>
      </c>
      <c r="F61" s="12">
        <f>IF(Orders[[#This Row],[Discount_Code]]="LAUNCH10",0.9,IF(Orders[[#This Row],[Discount_Code]]="WHOLESALE",0.75,1))</f>
        <v>1</v>
      </c>
      <c r="G61" s="12">
        <f>IFERROR(Orders[[#This Row],[Qty_Sold]]*Orders[[#This Row],[Mapped_Price]]*Orders[[#This Row],[Discount]],0)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Product_Master</vt:lpstr>
      <vt:lpstr>Sales_Transactions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2026-07-14T04:48:08Z</dcterms:created>
  <dcterms:modified xsi:type="dcterms:W3CDTF">2026-07-14T16:15:08Z</dcterms:modified>
</cp:coreProperties>
</file>