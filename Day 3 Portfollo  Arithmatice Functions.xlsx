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excel\Desktop\Excel Assignment (17)\Excel Assignment\"/>
    </mc:Choice>
  </mc:AlternateContent>
  <xr:revisionPtr revIDLastSave="0" documentId="8_{0B67C8C5-8F69-4DE2-B259-B89659EC5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1" i="1"/>
  <c r="N12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<sst xmlns="http://schemas.openxmlformats.org/spreadsheetml/2006/main" count="252" uniqueCount="109">
  <si>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</si>
  <si>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</si>
  <si>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</si>
  <si>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</si>
  <si>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</si>
  <si>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</si>
  <si>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</si>
  <si>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</si>
  <si>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</si>
  <si>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</si>
  <si>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</si>
  <si>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</si>
  <si>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</si>
  <si>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</si>
  <si>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</si>
  <si>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</si>
  <si>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</si>
  <si>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</si>
  <si>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</si>
  <si>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</si>
  <si>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</si>
  <si>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</si>
  <si>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</si>
  <si>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</si>
  <si>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</si>
  <si>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</si>
  <si>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</si>
  <si>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</si>
  <si>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</si>
  <si>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</si>
  <si>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</si>
  <si>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</si>
  <si>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</si>
  <si>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</si>
  <si>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</si>
  <si>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</si>
  <si>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</si>
  <si>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</si>
  <si>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</si>
  <si>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</si>
  <si>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</si>
  <si>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</si>
  <si>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</si>
  <si>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</si>
  <si>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</si>
  <si>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</si>
  <si>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</si>
  <si>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</si>
  <si>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</si>
  <si>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</si>
  <si>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</si>
  <si>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</si>
  <si>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</si>
  <si>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</si>
  <si>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</si>
  <si>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</si>
  <si>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</si>
  <si>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</si>
  <si>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</si>
  <si>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</si>
  <si>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</si>
  <si>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Regionwise Departmentwise Salary Report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</si>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</sst>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E11" workbookViewId="0">
      <selection activeCell="Z14" sqref="Z14"/>
    </sheetView>
  </sheetViews>
  <sheetFormatPr defaultColWidth="14.42578125" defaultRowHeight="15" customHeight="1"/>
  <cols>
    <col min="1" max="1" width="8.7109375" customWidth="1"/>
    <col min="2" max="2" width="7.7109375" customWidth="1"/>
    <col min="3" max="3" width="12.42578125" customWidth="1"/>
    <col min="4" max="4" width="12.85546875" customWidth="1"/>
    <col min="5" max="5" width="14.85546875" customWidth="1"/>
    <col min="6" max="6" width="13.42578125" customWidth="1"/>
    <col min="7" max="7" width="10.85546875" customWidth="1"/>
    <col min="8" max="9" width="8.7109375" customWidth="1"/>
    <col min="10" max="10" width="10.7109375" customWidth="1"/>
    <col min="11" max="12" width="8.7109375" customWidth="1"/>
    <col min="13" max="13" width="64" bestFit="1" customWidth="1"/>
    <col min="14" max="14" width="13.28515625" customWidth="1"/>
    <col min="15" max="26" width="8.7109375" customWidth="1"/>
  </cols>
  <sheetData>
    <row r="1" spans="2:14" ht="14.25" customHeight="1"/>
    <row r="2" spans="2:14" ht="14.25" customHeight="1">
      <c r="M2" s="10" t="s">
        <v>0</v>
      </c>
      <c r="N2" s="11"/>
    </row>
    <row r="3" spans="2:14" ht="14.25" customHeight="1">
      <c r="M3" s="1" t="s">
        <v>1</v>
      </c>
      <c r="N3" s="2">
        <f>SUM(J6:J43)</f>
        <v>2191000</v>
      </c>
    </row>
    <row r="4" spans="2:14" ht="14.25" customHeight="1">
      <c r="M4" s="1" t="s">
        <v>2</v>
      </c>
      <c r="N4" s="2">
        <f>AVERAGE(J6:J43)</f>
        <v>57657.894736842107</v>
      </c>
    </row>
    <row r="5" spans="2:14" ht="14.25" customHeight="1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9">
        <f>COUNT(B6:B43)</f>
        <v>38</v>
      </c>
    </row>
    <row r="6" spans="2:14" ht="14.25" customHeight="1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</row>
    <row r="7" spans="2:14" ht="14.25" customHeight="1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</row>
    <row r="8" spans="2:14" ht="14.25" customHeight="1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10" t="s">
        <v>32</v>
      </c>
      <c r="N9" s="11"/>
    </row>
    <row r="10" spans="2:14" ht="14.25" customHeight="1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9">
        <f>COUNTIF(I6:I43,"North")</f>
        <v>10</v>
      </c>
    </row>
    <row r="11" spans="2:14" ht="14.25" customHeight="1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9">
        <f>AVERAGEIFS(J6:J43,H6:H43,"Sales",I6:I43,"North")</f>
        <v>52000</v>
      </c>
    </row>
    <row r="12" spans="2:14" ht="14.25" customHeight="1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_xlfn.MAXIFS(J6:J43,H6:H43,"Digital Marketing")</f>
        <v>92000</v>
      </c>
    </row>
    <row r="13" spans="2:14" ht="14.25" customHeight="1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10" t="s">
        <v>61</v>
      </c>
      <c r="N19" s="11"/>
    </row>
    <row r="20" spans="2:14" ht="14.25" customHeight="1">
      <c r="B20" s="3">
        <v>150930</v>
      </c>
      <c r="C20" s="4" t="s">
        <v>62</v>
      </c>
      <c r="D20" s="4" t="s">
        <v>63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64</v>
      </c>
      <c r="N20" s="1" t="s">
        <v>18</v>
      </c>
    </row>
    <row r="21" spans="2:14" ht="14.25" customHeight="1">
      <c r="B21" s="3">
        <v>150894</v>
      </c>
      <c r="C21" s="4" t="s">
        <v>65</v>
      </c>
      <c r="D21" s="4" t="s">
        <v>66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9">
        <f>SUMIFS(J6:J43,H6:H43,"FLM",I6:I43,"North")</f>
        <v>48000</v>
      </c>
    </row>
    <row r="22" spans="2:14" ht="14.25" customHeight="1">
      <c r="B22" s="3">
        <v>150947</v>
      </c>
      <c r="C22" s="4" t="s">
        <v>67</v>
      </c>
      <c r="D22" s="4" t="s">
        <v>68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>
      <c r="B23" s="3">
        <v>150905</v>
      </c>
      <c r="C23" s="4" t="s">
        <v>69</v>
      </c>
      <c r="D23" s="4" t="s">
        <v>70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>
      <c r="B24" s="3">
        <v>150995</v>
      </c>
      <c r="C24" s="4" t="s">
        <v>71</v>
      </c>
      <c r="D24" s="4" t="s">
        <v>72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>
      <c r="B25" s="3">
        <v>150912</v>
      </c>
      <c r="C25" s="4" t="s">
        <v>73</v>
      </c>
      <c r="D25" s="4" t="s">
        <v>74</v>
      </c>
      <c r="E25" s="5">
        <v>37629</v>
      </c>
      <c r="F25" s="6" t="s">
        <v>15</v>
      </c>
      <c r="G25" s="4" t="s">
        <v>16</v>
      </c>
      <c r="H25" s="4" t="s">
        <v>75</v>
      </c>
      <c r="I25" s="4" t="s">
        <v>31</v>
      </c>
      <c r="J25" s="2">
        <v>81000</v>
      </c>
      <c r="M25" s="7"/>
      <c r="N25" s="7"/>
    </row>
    <row r="26" spans="2:14" ht="14.25" customHeight="1">
      <c r="B26" s="3">
        <v>150921</v>
      </c>
      <c r="C26" s="4" t="s">
        <v>76</v>
      </c>
      <c r="D26" s="4" t="s">
        <v>77</v>
      </c>
      <c r="E26" s="5">
        <v>38092</v>
      </c>
      <c r="F26" s="6" t="s">
        <v>29</v>
      </c>
      <c r="G26" s="4" t="s">
        <v>16</v>
      </c>
      <c r="H26" s="4" t="s">
        <v>78</v>
      </c>
      <c r="I26" s="4" t="s">
        <v>31</v>
      </c>
      <c r="J26" s="2">
        <v>19000</v>
      </c>
      <c r="M26" s="7"/>
      <c r="N26" s="7"/>
    </row>
    <row r="27" spans="2:14" ht="14.25" customHeight="1">
      <c r="B27" s="3">
        <v>150851</v>
      </c>
      <c r="C27" s="4" t="s">
        <v>79</v>
      </c>
      <c r="D27" s="4" t="s">
        <v>80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>
      <c r="B28" s="3">
        <v>150867</v>
      </c>
      <c r="C28" s="4" t="s">
        <v>81</v>
      </c>
      <c r="D28" s="4" t="s">
        <v>82</v>
      </c>
      <c r="E28" s="5">
        <v>29028</v>
      </c>
      <c r="F28" s="6" t="s">
        <v>15</v>
      </c>
      <c r="G28" s="4" t="s">
        <v>22</v>
      </c>
      <c r="H28" s="4" t="s">
        <v>78</v>
      </c>
      <c r="I28" s="4" t="s">
        <v>48</v>
      </c>
      <c r="J28" s="2">
        <v>49000</v>
      </c>
      <c r="M28" s="7"/>
      <c r="N28" s="7"/>
    </row>
    <row r="29" spans="2:14" ht="14.25" customHeight="1">
      <c r="B29" s="3">
        <v>150899</v>
      </c>
      <c r="C29" s="4" t="s">
        <v>83</v>
      </c>
      <c r="D29" s="4" t="s">
        <v>84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>
      <c r="B30" s="3">
        <v>150975</v>
      </c>
      <c r="C30" s="4" t="s">
        <v>85</v>
      </c>
      <c r="D30" s="4" t="s">
        <v>86</v>
      </c>
      <c r="E30" s="5">
        <v>31478</v>
      </c>
      <c r="F30" s="6" t="s">
        <v>29</v>
      </c>
      <c r="G30" s="4" t="s">
        <v>16</v>
      </c>
      <c r="H30" s="4" t="s">
        <v>78</v>
      </c>
      <c r="I30" s="4" t="s">
        <v>43</v>
      </c>
      <c r="J30" s="2">
        <v>83000</v>
      </c>
      <c r="M30" s="7"/>
      <c r="N30" s="7"/>
    </row>
    <row r="31" spans="2:14" ht="14.25" customHeight="1">
      <c r="B31" s="3">
        <v>150901</v>
      </c>
      <c r="C31" s="4" t="s">
        <v>87</v>
      </c>
      <c r="D31" s="4" t="s">
        <v>88</v>
      </c>
      <c r="E31" s="5">
        <v>32946</v>
      </c>
      <c r="F31" s="6" t="s">
        <v>15</v>
      </c>
      <c r="G31" s="4" t="s">
        <v>16</v>
      </c>
      <c r="H31" s="4" t="s">
        <v>89</v>
      </c>
      <c r="I31" s="4" t="s">
        <v>31</v>
      </c>
      <c r="J31" s="2">
        <v>53000</v>
      </c>
      <c r="M31" s="7"/>
      <c r="N31" s="7"/>
    </row>
    <row r="32" spans="2:14" ht="14.25" customHeight="1">
      <c r="B32" s="3">
        <v>150968</v>
      </c>
      <c r="C32" s="4" t="s">
        <v>90</v>
      </c>
      <c r="D32" s="4" t="s">
        <v>91</v>
      </c>
      <c r="E32" s="5">
        <v>37208</v>
      </c>
      <c r="F32" s="6" t="s">
        <v>29</v>
      </c>
      <c r="G32" s="4" t="s">
        <v>16</v>
      </c>
      <c r="H32" s="4" t="s">
        <v>75</v>
      </c>
      <c r="I32" s="4" t="s">
        <v>31</v>
      </c>
      <c r="J32" s="2">
        <v>65000</v>
      </c>
    </row>
    <row r="33" spans="2:10" ht="14.25" customHeight="1">
      <c r="B33" s="3">
        <v>150773</v>
      </c>
      <c r="C33" s="4" t="s">
        <v>92</v>
      </c>
      <c r="D33" s="4" t="s">
        <v>93</v>
      </c>
      <c r="E33" s="5">
        <v>26860</v>
      </c>
      <c r="F33" s="6" t="s">
        <v>29</v>
      </c>
      <c r="G33" s="4" t="s">
        <v>16</v>
      </c>
      <c r="H33" s="4" t="s">
        <v>78</v>
      </c>
      <c r="I33" s="4" t="s">
        <v>18</v>
      </c>
      <c r="J33" s="2">
        <v>85000</v>
      </c>
    </row>
    <row r="34" spans="2:10" ht="14.25" customHeight="1">
      <c r="B34" s="3">
        <v>150840</v>
      </c>
      <c r="C34" s="4" t="s">
        <v>62</v>
      </c>
      <c r="D34" s="4" t="s">
        <v>94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>
      <c r="B35" s="3">
        <v>150850</v>
      </c>
      <c r="C35" s="4" t="s">
        <v>51</v>
      </c>
      <c r="D35" s="4" t="s">
        <v>95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>
      <c r="B36" s="3">
        <v>150962</v>
      </c>
      <c r="C36" s="4" t="s">
        <v>96</v>
      </c>
      <c r="D36" s="4" t="s">
        <v>97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>
      <c r="B37" s="3">
        <v>150954</v>
      </c>
      <c r="C37" s="4" t="s">
        <v>98</v>
      </c>
      <c r="D37" s="4" t="s">
        <v>97</v>
      </c>
      <c r="E37" s="5">
        <v>35495</v>
      </c>
      <c r="F37" s="6" t="s">
        <v>15</v>
      </c>
      <c r="G37" s="4" t="s">
        <v>16</v>
      </c>
      <c r="H37" s="4" t="s">
        <v>89</v>
      </c>
      <c r="I37" s="4" t="s">
        <v>31</v>
      </c>
      <c r="J37" s="2">
        <v>57000</v>
      </c>
    </row>
    <row r="38" spans="2:10" ht="14.25" customHeight="1">
      <c r="B38" s="3">
        <v>150874</v>
      </c>
      <c r="C38" s="4" t="s">
        <v>99</v>
      </c>
      <c r="D38" s="4" t="s">
        <v>97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>
      <c r="B39" s="3">
        <v>150798</v>
      </c>
      <c r="C39" s="4" t="s">
        <v>100</v>
      </c>
      <c r="D39" s="4" t="s">
        <v>97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>
      <c r="B40" s="3">
        <v>150830</v>
      </c>
      <c r="C40" s="4" t="s">
        <v>101</v>
      </c>
      <c r="D40" s="4" t="s">
        <v>102</v>
      </c>
      <c r="E40" s="5">
        <v>29037</v>
      </c>
      <c r="F40" s="6" t="s">
        <v>15</v>
      </c>
      <c r="G40" s="4" t="s">
        <v>16</v>
      </c>
      <c r="H40" s="4" t="s">
        <v>89</v>
      </c>
      <c r="I40" s="4" t="s">
        <v>18</v>
      </c>
      <c r="J40" s="2">
        <v>52000</v>
      </c>
    </row>
    <row r="41" spans="2:10" ht="14.25" customHeight="1">
      <c r="B41" s="3">
        <v>150929</v>
      </c>
      <c r="C41" s="4" t="s">
        <v>103</v>
      </c>
      <c r="D41" s="4" t="s">
        <v>104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>
      <c r="B42" s="3">
        <v>150982</v>
      </c>
      <c r="C42" s="4" t="s">
        <v>105</v>
      </c>
      <c r="D42" s="4" t="s">
        <v>106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>
      <c r="B43" s="3">
        <v>150821</v>
      </c>
      <c r="C43" s="4" t="s">
        <v>107</v>
      </c>
      <c r="D43" s="4" t="s">
        <v>108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Shruti Nigam</dc:creator>
  <cp:keywords/>
  <dc:description/>
  <cp:lastModifiedBy/>
  <cp:revision/>
  <dcterms:created xsi:type="dcterms:W3CDTF">2022-07-27T05:54:27Z</dcterms:created>
  <dcterms:modified xsi:type="dcterms:W3CDTF">2026-07-14T10:34:25Z</dcterms:modified>
  <cp:category/>
  <cp:contentStatus/>
</cp:coreProperties>
</file>